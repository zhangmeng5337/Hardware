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4045" windowHeight="12375" activeTab="3"/>
  </bookViews>
  <sheets>
    <sheet name="气体参数" sheetId="1" r:id="rId1"/>
    <sheet name="喷嘴参数" sheetId="3" r:id="rId2"/>
    <sheet name="版本控制" sheetId="2" r:id="rId3"/>
    <sheet name="cmd" sheetId="4" r:id="rId4"/>
  </sheet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3" i="4" l="1"/>
  <c r="D44" i="4"/>
  <c r="C43" i="4"/>
  <c r="C44" i="4"/>
  <c r="B43" i="4"/>
  <c r="B44" i="4"/>
  <c r="A43" i="4"/>
  <c r="A44" i="4"/>
  <c r="W31" i="3"/>
  <c r="V31" i="3"/>
  <c r="U31" i="3"/>
  <c r="W30" i="3"/>
  <c r="V30" i="3"/>
  <c r="U30" i="3"/>
  <c r="W29" i="3"/>
  <c r="V29" i="3"/>
  <c r="U29" i="3"/>
  <c r="D42" i="4" l="1"/>
  <c r="C42" i="4"/>
  <c r="B42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1" i="4"/>
  <c r="W28" i="3"/>
  <c r="D41" i="4" s="1"/>
  <c r="V28" i="3"/>
  <c r="C41" i="4" s="1"/>
  <c r="U28" i="3"/>
  <c r="B41" i="4" s="1"/>
  <c r="T28" i="3"/>
  <c r="W27" i="3"/>
  <c r="D40" i="4" s="1"/>
  <c r="V27" i="3"/>
  <c r="C40" i="4" s="1"/>
  <c r="U27" i="3"/>
  <c r="B40" i="4" s="1"/>
  <c r="T27" i="3"/>
  <c r="W26" i="3"/>
  <c r="D39" i="4" s="1"/>
  <c r="V26" i="3"/>
  <c r="C39" i="4" s="1"/>
  <c r="U26" i="3"/>
  <c r="B39" i="4" s="1"/>
  <c r="T26" i="3"/>
  <c r="W25" i="3"/>
  <c r="D38" i="4" s="1"/>
  <c r="V25" i="3"/>
  <c r="C38" i="4" s="1"/>
  <c r="U25" i="3"/>
  <c r="B38" i="4" s="1"/>
  <c r="T25" i="3"/>
  <c r="W24" i="3"/>
  <c r="D37" i="4" s="1"/>
  <c r="V24" i="3"/>
  <c r="C37" i="4" s="1"/>
  <c r="U24" i="3"/>
  <c r="B37" i="4" s="1"/>
  <c r="T24" i="3"/>
  <c r="W23" i="3"/>
  <c r="D36" i="4" s="1"/>
  <c r="V23" i="3"/>
  <c r="C36" i="4" s="1"/>
  <c r="U23" i="3"/>
  <c r="B36" i="4" s="1"/>
  <c r="T23" i="3"/>
  <c r="W22" i="3"/>
  <c r="D35" i="4" s="1"/>
  <c r="V22" i="3"/>
  <c r="C35" i="4" s="1"/>
  <c r="U22" i="3"/>
  <c r="B35" i="4" s="1"/>
  <c r="T22" i="3"/>
  <c r="W21" i="3"/>
  <c r="D34" i="4" s="1"/>
  <c r="V21" i="3"/>
  <c r="C34" i="4" s="1"/>
  <c r="U21" i="3"/>
  <c r="B34" i="4" s="1"/>
  <c r="T21" i="3"/>
  <c r="W20" i="3"/>
  <c r="D33" i="4" s="1"/>
  <c r="V20" i="3"/>
  <c r="C33" i="4" s="1"/>
  <c r="U20" i="3"/>
  <c r="B33" i="4" s="1"/>
  <c r="T20" i="3"/>
  <c r="W19" i="3"/>
  <c r="D32" i="4" s="1"/>
  <c r="V19" i="3"/>
  <c r="C32" i="4" s="1"/>
  <c r="U19" i="3"/>
  <c r="B32" i="4" s="1"/>
  <c r="T19" i="3"/>
  <c r="W18" i="3"/>
  <c r="D31" i="4" s="1"/>
  <c r="V18" i="3"/>
  <c r="C31" i="4" s="1"/>
  <c r="U18" i="3"/>
  <c r="B31" i="4" s="1"/>
  <c r="T18" i="3"/>
  <c r="W17" i="3"/>
  <c r="D30" i="4" s="1"/>
  <c r="V17" i="3"/>
  <c r="C30" i="4" s="1"/>
  <c r="U17" i="3"/>
  <c r="B30" i="4" s="1"/>
  <c r="T17" i="3"/>
  <c r="W16" i="3"/>
  <c r="D29" i="4" s="1"/>
  <c r="V16" i="3"/>
  <c r="C29" i="4" s="1"/>
  <c r="U16" i="3"/>
  <c r="B29" i="4" s="1"/>
  <c r="T16" i="3"/>
  <c r="W15" i="3"/>
  <c r="D28" i="4" s="1"/>
  <c r="V15" i="3"/>
  <c r="C28" i="4" s="1"/>
  <c r="U15" i="3"/>
  <c r="B28" i="4" s="1"/>
  <c r="T15" i="3"/>
  <c r="W14" i="3"/>
  <c r="D27" i="4" s="1"/>
  <c r="V14" i="3"/>
  <c r="C27" i="4" s="1"/>
  <c r="U14" i="3"/>
  <c r="B27" i="4" s="1"/>
  <c r="T14" i="3"/>
  <c r="N22" i="1"/>
  <c r="N21" i="1"/>
  <c r="G21" i="1"/>
  <c r="F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N2" i="1"/>
</calcChain>
</file>

<file path=xl/sharedStrings.xml><?xml version="1.0" encoding="utf-8"?>
<sst xmlns="http://schemas.openxmlformats.org/spreadsheetml/2006/main" count="192" uniqueCount="146">
  <si>
    <t>GAS ID</t>
  </si>
  <si>
    <t>GAS NAME</t>
  </si>
  <si>
    <t>SHR</t>
  </si>
  <si>
    <t>MW</t>
  </si>
  <si>
    <t>COEFF1</t>
  </si>
  <si>
    <t>COEFF2</t>
  </si>
  <si>
    <t>alpha</t>
  </si>
  <si>
    <t>a</t>
  </si>
  <si>
    <t>b</t>
  </si>
  <si>
    <t>c</t>
  </si>
  <si>
    <t>d</t>
  </si>
  <si>
    <t>HE</t>
  </si>
  <si>
    <t>set_gas=</t>
  </si>
  <si>
    <t>AR</t>
  </si>
  <si>
    <t>set_shr=</t>
  </si>
  <si>
    <t>N2</t>
  </si>
  <si>
    <t>set_mw=</t>
  </si>
  <si>
    <t>CO2</t>
  </si>
  <si>
    <t>set_c1=</t>
  </si>
  <si>
    <t>SF6</t>
  </si>
  <si>
    <t>set_c2=</t>
  </si>
  <si>
    <t>sicl4</t>
  </si>
  <si>
    <t>set_c3=</t>
  </si>
  <si>
    <t>O2</t>
  </si>
  <si>
    <t>set_a=</t>
  </si>
  <si>
    <t>c4f6</t>
  </si>
  <si>
    <t>set_b=</t>
  </si>
  <si>
    <t>ch4</t>
  </si>
  <si>
    <t>set_c=</t>
  </si>
  <si>
    <t>cos</t>
  </si>
  <si>
    <t>set_d=</t>
  </si>
  <si>
    <t>cl2</t>
  </si>
  <si>
    <t xml:space="preserve">header </t>
  </si>
  <si>
    <t>ch2f2</t>
  </si>
  <si>
    <t>chf3</t>
  </si>
  <si>
    <t>hbr</t>
  </si>
  <si>
    <t>cf4</t>
  </si>
  <si>
    <t>nf3</t>
  </si>
  <si>
    <t>ch3f</t>
  </si>
  <si>
    <t>c4f8</t>
  </si>
  <si>
    <t>bcl3</t>
  </si>
  <si>
    <t>sih4</t>
  </si>
  <si>
    <t>H2</t>
  </si>
  <si>
    <t xml:space="preserve">
</t>
  </si>
  <si>
    <t>set_nozzle=0</t>
  </si>
  <si>
    <t>set_bp0=</t>
  </si>
  <si>
    <t>set_v1=</t>
  </si>
  <si>
    <t>set_gerr2=</t>
  </si>
  <si>
    <t>set_bp1=</t>
  </si>
  <si>
    <t>set_v2=</t>
  </si>
  <si>
    <t>set_gerr1=</t>
  </si>
  <si>
    <t>set_bp2=</t>
  </si>
  <si>
    <t>set_gerr0=</t>
  </si>
  <si>
    <t>set_bp3=</t>
  </si>
  <si>
    <t>set_s1=</t>
  </si>
  <si>
    <t>set_bp4=</t>
  </si>
  <si>
    <t>set_s2=</t>
  </si>
  <si>
    <t xml:space="preserve">header  </t>
  </si>
  <si>
    <t>set_tr=</t>
  </si>
  <si>
    <t>purge_time=120</t>
  </si>
  <si>
    <t>set_nozzle=1</t>
  </si>
  <si>
    <t>Serial Number</t>
  </si>
  <si>
    <t>0.2mm</t>
  </si>
  <si>
    <t>0.75mm</t>
  </si>
  <si>
    <t>S1</t>
  </si>
  <si>
    <t>S2</t>
  </si>
  <si>
    <t>Tr</t>
  </si>
  <si>
    <t>BP4</t>
  </si>
  <si>
    <t>BP3</t>
  </si>
  <si>
    <t>BP2</t>
  </si>
  <si>
    <t>BP1</t>
  </si>
  <si>
    <t>BP0</t>
  </si>
  <si>
    <t>体积V1</t>
  </si>
  <si>
    <t>原始体积V2</t>
  </si>
  <si>
    <t>修正后V2</t>
  </si>
  <si>
    <t>说明</t>
  </si>
  <si>
    <t>num</t>
  </si>
  <si>
    <t>nozzle0</t>
  </si>
  <si>
    <t>bp</t>
  </si>
  <si>
    <t>nozzle 1</t>
  </si>
  <si>
    <t>Gerr2</t>
  </si>
  <si>
    <t>Gerr1</t>
  </si>
  <si>
    <t>Gerr0</t>
  </si>
  <si>
    <t>G23_PILOT_001</t>
  </si>
  <si>
    <t>工程样机</t>
  </si>
  <si>
    <t>G23_PILOT_002</t>
  </si>
  <si>
    <t>2025/01/09更新</t>
  </si>
  <si>
    <t>G23_PILOT_003</t>
  </si>
  <si>
    <t>G23_PILOT_001_改喷嘴</t>
  </si>
  <si>
    <t>G23_PILOT_002_改喷嘴</t>
  </si>
  <si>
    <t>G23_PILOT_004</t>
  </si>
  <si>
    <t>G23_PILOT_006</t>
  </si>
  <si>
    <t>G23_PILOT_008</t>
  </si>
  <si>
    <t>G23_PILOT_009</t>
  </si>
  <si>
    <t>G23_PILOT_010</t>
  </si>
  <si>
    <t>G23_PILOT_011</t>
  </si>
  <si>
    <t>G23_PILOT_012</t>
  </si>
  <si>
    <t>G23_PILOT_013</t>
  </si>
  <si>
    <t>G23_PILOT_014</t>
  </si>
  <si>
    <t>header  set_nozzle=0
set_gerr2=-0.338132
set_gerr1=2.814077
set_gerr0=-1.645232
set_s1=-0.052
set_s2=1.1028
set_tr=300</t>
  </si>
  <si>
    <t>版本号</t>
  </si>
  <si>
    <t>修改人</t>
  </si>
  <si>
    <t>时间</t>
  </si>
  <si>
    <t>V1</t>
  </si>
  <si>
    <t>初稿</t>
  </si>
  <si>
    <t>KL</t>
  </si>
  <si>
    <t>V2</t>
  </si>
  <si>
    <t>增加系数a</t>
  </si>
  <si>
    <t>V3</t>
  </si>
  <si>
    <t>修改了alpha命名，增加了abcd</t>
  </si>
  <si>
    <t>V5</t>
  </si>
  <si>
    <t>增加了bp</t>
  </si>
  <si>
    <t>V6</t>
  </si>
  <si>
    <t>增加了pilot002</t>
  </si>
  <si>
    <t>V7</t>
  </si>
  <si>
    <t>增加了PILOT002的bp</t>
  </si>
  <si>
    <t>V8</t>
  </si>
  <si>
    <t>修改COS的 gas id</t>
  </si>
  <si>
    <t>V9</t>
  </si>
  <si>
    <t>加入了PILOT003</t>
  </si>
  <si>
    <t>V10</t>
  </si>
  <si>
    <t>加入了PILOT001_改喷嘴</t>
  </si>
  <si>
    <t>V13</t>
  </si>
  <si>
    <t>加入了004,006,008</t>
  </si>
  <si>
    <t>V14</t>
  </si>
  <si>
    <t>加入体积参数</t>
  </si>
  <si>
    <t>MENK</t>
  </si>
  <si>
    <t>V15</t>
  </si>
  <si>
    <t>增加导出数据库公式处理</t>
  </si>
  <si>
    <t>V16</t>
  </si>
  <si>
    <t>增加了009</t>
  </si>
  <si>
    <t>V17</t>
  </si>
  <si>
    <t>增加了H2，7号气体</t>
  </si>
  <si>
    <t>V18</t>
  </si>
  <si>
    <t>增加了010数据</t>
  </si>
  <si>
    <t>V19</t>
  </si>
  <si>
    <t>增加了011-014的数据，不包含011-013的底压</t>
  </si>
  <si>
    <t>V20</t>
  </si>
  <si>
    <t>增加了014底压</t>
  </si>
  <si>
    <t>V21</t>
  </si>
  <si>
    <t>增加了013底压</t>
  </si>
  <si>
    <t>V22</t>
  </si>
  <si>
    <t>修改G23_PILOT_013体积</t>
  </si>
  <si>
    <t>G23_PILOT_015</t>
  </si>
  <si>
    <t>G23_PILOT_016</t>
  </si>
  <si>
    <t>G23_PILOT_017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</si>
</sst>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2"/>
      <color theme="1"/>
      <name val="Aptos"/>
      <family val="1"/>
    </font>
    <font>
      <sz val="11"/>
      <color rgb="FFFF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Font="1"/>
    <xf numFmtId="0" fontId="0" fillId="0" borderId="0" xfId="0" applyFont="1" applyAlignment="1">
      <alignment wrapText="1"/>
    </xf>
    <xf numFmtId="16" fontId="0" fillId="0" borderId="0" xfId="0" applyNumberFormat="1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4" fillId="0" borderId="0" xfId="0" applyFo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0"/>
  <sheetViews>
    <sheetView workbookViewId="0">
      <selection activeCell="A22" sqref="A22"/>
    </sheetView>
  </sheetViews>
  <sheetFormatPr defaultColWidth="9" defaultRowHeight="14.25"/>
  <cols>
    <col min="14" max="14" width="56" customWidth="1"/>
  </cols>
  <sheetData>
    <row r="1" spans="1:1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4">
      <c r="A2">
        <v>1</v>
      </c>
      <c r="B2" t="s">
        <v>11</v>
      </c>
      <c r="C2">
        <v>1.667</v>
      </c>
      <c r="D2">
        <v>4.0019999999999998</v>
      </c>
      <c r="E2">
        <v>1.115</v>
      </c>
      <c r="F2">
        <v>0.36302531892261097</v>
      </c>
      <c r="G2">
        <v>0.48709216944070099</v>
      </c>
      <c r="H2">
        <v>1</v>
      </c>
      <c r="I2">
        <v>0</v>
      </c>
      <c r="J2">
        <v>0</v>
      </c>
      <c r="K2">
        <v>0</v>
      </c>
      <c r="M2" s="1" t="s">
        <v>12</v>
      </c>
      <c r="N2" s="1" t="str">
        <f t="shared" ref="N2:N22" si="0">$M$12&amp;($M$2&amp;A2)&amp;CHAR(10)&amp;$M$3&amp;C2&amp;CHAR(10)&amp;$M$4&amp;D2&amp;CHAR(10)&amp;$M$5&amp;E2&amp;CHAR(10)&amp;$M$6&amp;F2&amp;CHAR(10)&amp;$M$7&amp;G2&amp;CHAR(10)&amp;$M$8&amp;H2&amp;CHAR(10)&amp;$M$9&amp;I2&amp;CHAR(10)&amp;$M$10&amp;J2&amp;CHAR(10)&amp;$M$11&amp;K2</f>
        <v>header set_gas=1
set_shr=1.667
set_mw=4.002
set_c1=1.115
set_c2=0.363025318922611
set_c3=0.487092169440701
set_a=1
set_b=0
set_c=0
set_d=0</v>
      </c>
    </row>
    <row r="3" spans="1:14">
      <c r="A3">
        <v>4</v>
      </c>
      <c r="B3" t="s">
        <v>13</v>
      </c>
      <c r="C3">
        <v>1.667</v>
      </c>
      <c r="D3">
        <v>39.948</v>
      </c>
      <c r="E3">
        <v>1.2689999999999999</v>
      </c>
      <c r="F3">
        <v>0.114902092344169</v>
      </c>
      <c r="G3">
        <v>0.48709216944070099</v>
      </c>
      <c r="H3">
        <v>1</v>
      </c>
      <c r="I3">
        <v>0</v>
      </c>
      <c r="J3">
        <v>0</v>
      </c>
      <c r="K3">
        <v>0</v>
      </c>
      <c r="M3" s="1" t="s">
        <v>14</v>
      </c>
      <c r="N3" s="1" t="str">
        <f t="shared" si="0"/>
        <v>header set_gas=4
set_shr=1.667
set_mw=39.948
set_c1=1.269
set_c2=0.114902092344169
set_c3=0.487092169440701
set_a=1
set_b=0
set_c=0
set_d=0</v>
      </c>
    </row>
    <row r="4" spans="1:14">
      <c r="A4">
        <v>13</v>
      </c>
      <c r="B4" t="s">
        <v>15</v>
      </c>
      <c r="C4">
        <v>1.4</v>
      </c>
      <c r="D4">
        <v>28</v>
      </c>
      <c r="E4">
        <v>1</v>
      </c>
      <c r="F4">
        <v>0.12940208203123801</v>
      </c>
      <c r="G4">
        <v>0.52828178771717405</v>
      </c>
      <c r="H4">
        <v>1</v>
      </c>
      <c r="I4">
        <v>0</v>
      </c>
      <c r="J4">
        <v>0</v>
      </c>
      <c r="K4">
        <v>0</v>
      </c>
      <c r="M4" s="1" t="s">
        <v>16</v>
      </c>
      <c r="N4" s="1" t="str">
        <f t="shared" si="0"/>
        <v>header set_gas=13
set_shr=1.4
set_mw=28
set_c1=1
set_c2=0.129402082031238
set_c3=0.528281787717174
set_a=1
set_b=0
set_c=0
set_d=0</v>
      </c>
    </row>
    <row r="5" spans="1:14">
      <c r="A5">
        <v>25</v>
      </c>
      <c r="B5" t="s">
        <v>17</v>
      </c>
      <c r="C5">
        <v>1.2889999999999999</v>
      </c>
      <c r="D5">
        <v>44.01</v>
      </c>
      <c r="E5">
        <v>0.83660000000000001</v>
      </c>
      <c r="F5">
        <v>0.100281321601283</v>
      </c>
      <c r="G5">
        <v>0.54772350162801897</v>
      </c>
      <c r="H5">
        <v>1</v>
      </c>
      <c r="I5">
        <v>0</v>
      </c>
      <c r="J5">
        <v>0</v>
      </c>
      <c r="K5">
        <v>0</v>
      </c>
      <c r="M5" s="1" t="s">
        <v>18</v>
      </c>
      <c r="N5" s="1" t="str">
        <f t="shared" si="0"/>
        <v>header set_gas=25
set_shr=1.289
set_mw=44.01
set_c1=0.8366
set_c2=0.100281321601283
set_c3=0.547723501628019
set_a=1
set_b=0
set_c=0
set_d=0</v>
      </c>
    </row>
    <row r="6" spans="1:14">
      <c r="A6">
        <v>110</v>
      </c>
      <c r="B6" t="s">
        <v>19</v>
      </c>
      <c r="C6">
        <v>1.1000000000000001</v>
      </c>
      <c r="D6">
        <v>146</v>
      </c>
      <c r="E6">
        <v>0.85299999999999998</v>
      </c>
      <c r="F6">
        <v>5.2003464130204097E-2</v>
      </c>
      <c r="G6">
        <v>0.58467928908643696</v>
      </c>
      <c r="H6">
        <v>1</v>
      </c>
      <c r="I6">
        <v>0</v>
      </c>
      <c r="J6">
        <v>0</v>
      </c>
      <c r="K6">
        <v>0</v>
      </c>
      <c r="M6" s="1" t="s">
        <v>20</v>
      </c>
      <c r="N6" s="1" t="str">
        <f t="shared" si="0"/>
        <v>header set_gas=110
set_shr=1.1
set_mw=146
set_c1=0.853
set_c2=0.0520034641302041
set_c3=0.584679289086437
set_a=1
set_b=0
set_c=0
set_d=0</v>
      </c>
    </row>
    <row r="7" spans="1:14">
      <c r="A7">
        <v>108</v>
      </c>
      <c r="B7" t="s">
        <v>21</v>
      </c>
      <c r="C7">
        <v>1.1000000000000001</v>
      </c>
      <c r="D7">
        <v>169.9</v>
      </c>
      <c r="E7">
        <v>0.98</v>
      </c>
      <c r="F7">
        <v>4.8207211727469501E-2</v>
      </c>
      <c r="G7">
        <v>0.58467928908643696</v>
      </c>
      <c r="H7">
        <v>4.0031999999999996</v>
      </c>
      <c r="I7">
        <v>1149.8</v>
      </c>
      <c r="J7">
        <v>-43.04</v>
      </c>
      <c r="K7">
        <v>20</v>
      </c>
      <c r="M7" s="1" t="s">
        <v>22</v>
      </c>
      <c r="N7" s="1" t="str">
        <f t="shared" si="0"/>
        <v>header set_gas=108
set_shr=1.1
set_mw=169.9
set_c1=0.98
set_c2=0.0482072117274695
set_c3=0.584679289086437
set_a=4.0032
set_b=1149.8
set_c=-43.04
set_d=20</v>
      </c>
    </row>
    <row r="8" spans="1:14">
      <c r="A8">
        <v>15</v>
      </c>
      <c r="B8" t="s">
        <v>23</v>
      </c>
      <c r="C8">
        <v>1.4</v>
      </c>
      <c r="D8">
        <v>32</v>
      </c>
      <c r="E8">
        <v>1.1499999999999999</v>
      </c>
      <c r="F8">
        <v>0.121044564024027</v>
      </c>
      <c r="G8">
        <v>0.52828178771717405</v>
      </c>
      <c r="H8">
        <v>1</v>
      </c>
      <c r="I8">
        <v>0</v>
      </c>
      <c r="J8">
        <v>0</v>
      </c>
      <c r="K8">
        <v>0</v>
      </c>
      <c r="M8" s="1" t="s">
        <v>24</v>
      </c>
      <c r="N8" s="1" t="str">
        <f t="shared" si="0"/>
        <v>header set_gas=15
set_shr=1.4
set_mw=32
set_c1=1.15
set_c2=0.121044564024027
set_c3=0.528281787717174
set_a=1
set_b=0
set_c=0
set_d=0</v>
      </c>
    </row>
    <row r="9" spans="1:14">
      <c r="A9">
        <v>297</v>
      </c>
      <c r="B9" t="s">
        <v>25</v>
      </c>
      <c r="C9">
        <v>1.06</v>
      </c>
      <c r="D9">
        <v>162</v>
      </c>
      <c r="E9">
        <v>0.85299999999999998</v>
      </c>
      <c r="F9">
        <v>4.8699339154876897E-2</v>
      </c>
      <c r="G9">
        <v>0.59321077406381995</v>
      </c>
      <c r="H9">
        <v>0.06</v>
      </c>
      <c r="I9">
        <v>0</v>
      </c>
      <c r="J9">
        <v>0</v>
      </c>
      <c r="K9">
        <v>0</v>
      </c>
      <c r="M9" s="1" t="s">
        <v>26</v>
      </c>
      <c r="N9" s="1" t="str">
        <f t="shared" si="0"/>
        <v>header set_gas=297
set_shr=1.06
set_mw=162
set_c1=0.853
set_c2=0.0486993391548769
set_c3=0.59321077406382
set_a=0.06
set_b=0
set_c=0
set_d=0</v>
      </c>
    </row>
    <row r="10" spans="1:14">
      <c r="A10">
        <v>28</v>
      </c>
      <c r="B10" t="s">
        <v>27</v>
      </c>
      <c r="C10">
        <v>1.32</v>
      </c>
      <c r="D10">
        <v>16</v>
      </c>
      <c r="E10">
        <v>0.57999999999999996</v>
      </c>
      <c r="F10">
        <v>0.167713013820073</v>
      </c>
      <c r="G10">
        <v>0.54213917985174698</v>
      </c>
      <c r="H10">
        <v>1</v>
      </c>
      <c r="I10">
        <v>0</v>
      </c>
      <c r="J10">
        <v>0</v>
      </c>
      <c r="K10">
        <v>0</v>
      </c>
      <c r="M10" s="1" t="s">
        <v>28</v>
      </c>
      <c r="N10" s="1" t="str">
        <f t="shared" si="0"/>
        <v>header set_gas=28
set_shr=1.32
set_mw=16
set_c1=0.58
set_c2=0.167713013820073
set_c3=0.542139179851747
set_a=1
set_b=0
set_c=0
set_d=0</v>
      </c>
    </row>
    <row r="11" spans="1:14">
      <c r="A11">
        <v>34</v>
      </c>
      <c r="B11" t="s">
        <v>29</v>
      </c>
      <c r="C11">
        <v>1.25</v>
      </c>
      <c r="D11">
        <v>60</v>
      </c>
      <c r="E11">
        <v>0.69</v>
      </c>
      <c r="F11">
        <v>8.4955799305999197E-2</v>
      </c>
      <c r="G11">
        <v>0.55492895730664304</v>
      </c>
      <c r="H11">
        <v>1</v>
      </c>
      <c r="I11">
        <v>0</v>
      </c>
      <c r="J11">
        <v>0</v>
      </c>
      <c r="K11">
        <v>0</v>
      </c>
      <c r="M11" s="1" t="s">
        <v>30</v>
      </c>
      <c r="N11" s="1" t="str">
        <f t="shared" si="0"/>
        <v>header set_gas=34
set_shr=1.25
set_mw=60
set_c1=0.69
set_c2=0.0849557993059992
set_c3=0.554928957306643
set_a=1
set_b=0
set_c=0
set_d=0</v>
      </c>
    </row>
    <row r="12" spans="1:14">
      <c r="A12">
        <v>19</v>
      </c>
      <c r="B12" t="s">
        <v>31</v>
      </c>
      <c r="C12">
        <v>1.33</v>
      </c>
      <c r="D12">
        <v>71</v>
      </c>
      <c r="E12">
        <v>0.76800000000000002</v>
      </c>
      <c r="F12">
        <v>7.9826305683284596E-2</v>
      </c>
      <c r="G12">
        <v>0.54036401763594999</v>
      </c>
      <c r="H12">
        <v>1</v>
      </c>
      <c r="I12">
        <v>0</v>
      </c>
      <c r="J12">
        <v>0</v>
      </c>
      <c r="K12">
        <v>0</v>
      </c>
      <c r="M12" t="s">
        <v>32</v>
      </c>
      <c r="N12" s="1" t="str">
        <f t="shared" si="0"/>
        <v>header set_gas=19
set_shr=1.33
set_mw=71
set_c1=0.768
set_c2=0.0798263056832846
set_c3=0.54036401763595
set_a=1
set_b=0
set_c=0
set_d=0</v>
      </c>
    </row>
    <row r="13" spans="1:14">
      <c r="A13">
        <v>160</v>
      </c>
      <c r="B13" t="s">
        <v>33</v>
      </c>
      <c r="C13">
        <v>1.24</v>
      </c>
      <c r="D13">
        <v>52</v>
      </c>
      <c r="E13">
        <v>0.81</v>
      </c>
      <c r="F13">
        <v>9.0996578908725007E-2</v>
      </c>
      <c r="G13">
        <v>0.55680981603013802</v>
      </c>
      <c r="H13">
        <v>4.2619999999999996</v>
      </c>
      <c r="I13">
        <v>821.09</v>
      </c>
      <c r="J13">
        <v>-28.55</v>
      </c>
      <c r="K13">
        <v>0</v>
      </c>
      <c r="N13" s="1" t="str">
        <f t="shared" si="0"/>
        <v>header set_gas=160
set_shr=1.24
set_mw=52
set_c1=0.81
set_c2=0.090996578908725
set_c3=0.556809816030138
set_a=4.262
set_b=821.09
set_c=-28.55
set_d=0</v>
      </c>
    </row>
    <row r="14" spans="1:14">
      <c r="A14">
        <v>49</v>
      </c>
      <c r="B14" t="s">
        <v>34</v>
      </c>
      <c r="C14">
        <v>1.19</v>
      </c>
      <c r="D14">
        <v>70</v>
      </c>
      <c r="E14">
        <v>0.82</v>
      </c>
      <c r="F14">
        <v>7.7281344410312106E-2</v>
      </c>
      <c r="G14">
        <v>0.56642595860257805</v>
      </c>
      <c r="H14">
        <v>1</v>
      </c>
      <c r="I14">
        <v>0</v>
      </c>
      <c r="J14">
        <v>0</v>
      </c>
      <c r="K14">
        <v>0</v>
      </c>
      <c r="N14" s="1" t="str">
        <f t="shared" si="0"/>
        <v>header set_gas=49
set_shr=1.19
set_mw=70
set_c1=0.82
set_c2=0.0772813444103121
set_c3=0.566425958602578
set_a=1
set_b=0
set_c=0
set_d=0</v>
      </c>
    </row>
    <row r="15" spans="1:14">
      <c r="A15">
        <v>10</v>
      </c>
      <c r="B15" t="s">
        <v>35</v>
      </c>
      <c r="C15">
        <v>1.38</v>
      </c>
      <c r="D15">
        <v>81</v>
      </c>
      <c r="E15">
        <v>1.07</v>
      </c>
      <c r="F15">
        <v>7.5703465350841895E-2</v>
      </c>
      <c r="G15">
        <v>0.53167378278377397</v>
      </c>
      <c r="H15">
        <v>4.1500000000000004</v>
      </c>
      <c r="I15">
        <v>754.97</v>
      </c>
      <c r="J15">
        <v>-25.085999999999999</v>
      </c>
      <c r="K15">
        <v>0</v>
      </c>
      <c r="N15" s="1" t="str">
        <f t="shared" si="0"/>
        <v>header set_gas=10
set_shr=1.38
set_mw=81
set_c1=1.07
set_c2=0.0757034653508419
set_c3=0.531673782783774
set_a=4.15
set_b=754.97
set_c=-25.086
set_d=0</v>
      </c>
    </row>
    <row r="16" spans="1:14">
      <c r="A16">
        <v>63</v>
      </c>
      <c r="B16" t="s">
        <v>36</v>
      </c>
      <c r="C16">
        <v>1.18</v>
      </c>
      <c r="D16">
        <v>88</v>
      </c>
      <c r="E16">
        <v>1.01</v>
      </c>
      <c r="F16">
        <v>6.8716563128562599E-2</v>
      </c>
      <c r="G16">
        <v>0.56839272873334201</v>
      </c>
      <c r="H16">
        <v>1</v>
      </c>
      <c r="I16">
        <v>0</v>
      </c>
      <c r="J16">
        <v>0</v>
      </c>
      <c r="K16">
        <v>0</v>
      </c>
      <c r="N16" s="1" t="str">
        <f t="shared" si="0"/>
        <v>header set_gas=63
set_shr=1.18
set_mw=88
set_c1=1.01
set_c2=0.0687165631285626
set_c3=0.568392728733342
set_a=1
set_b=0
set_c=0
set_d=0</v>
      </c>
    </row>
    <row r="17" spans="1:14">
      <c r="A17">
        <v>53</v>
      </c>
      <c r="B17" t="s">
        <v>37</v>
      </c>
      <c r="C17">
        <v>1.18</v>
      </c>
      <c r="D17">
        <v>71</v>
      </c>
      <c r="E17">
        <v>0.97</v>
      </c>
      <c r="F17">
        <v>7.6502141389687806E-2</v>
      </c>
      <c r="G17">
        <v>0.56839272873334201</v>
      </c>
      <c r="H17">
        <v>1</v>
      </c>
      <c r="I17">
        <v>0</v>
      </c>
      <c r="J17">
        <v>0</v>
      </c>
      <c r="K17">
        <v>0</v>
      </c>
      <c r="N17" s="1" t="str">
        <f t="shared" si="0"/>
        <v>header set_gas=53
set_shr=1.18
set_mw=71
set_c1=0.97
set_c2=0.0765021413896878
set_c3=0.568392728733342
set_a=1
set_b=0
set_c=0
set_d=0</v>
      </c>
    </row>
    <row r="18" spans="1:14">
      <c r="A18">
        <v>33</v>
      </c>
      <c r="B18" t="s">
        <v>38</v>
      </c>
      <c r="C18">
        <v>1.28</v>
      </c>
      <c r="D18">
        <v>34</v>
      </c>
      <c r="E18">
        <v>0.67</v>
      </c>
      <c r="F18">
        <v>0.11381027918992399</v>
      </c>
      <c r="G18">
        <v>0.54936822521158302</v>
      </c>
      <c r="H18">
        <v>1</v>
      </c>
      <c r="I18">
        <v>0</v>
      </c>
      <c r="J18">
        <v>0</v>
      </c>
      <c r="K18">
        <v>0</v>
      </c>
      <c r="N18" s="1" t="str">
        <f t="shared" si="0"/>
        <v>header set_gas=33
set_shr=1.28
set_mw=34
set_c1=0.67
set_c2=0.113810279189924
set_c3=0.549368225211583
set_a=1
set_b=0
set_c=0
set_d=0</v>
      </c>
    </row>
    <row r="19" spans="1:14">
      <c r="A19">
        <v>129</v>
      </c>
      <c r="B19" t="s">
        <v>39</v>
      </c>
      <c r="C19">
        <v>1.05</v>
      </c>
      <c r="D19">
        <v>200</v>
      </c>
      <c r="E19">
        <v>0.57999999999999996</v>
      </c>
      <c r="F19">
        <v>4.3675753997299997E-2</v>
      </c>
      <c r="G19">
        <v>0.59538628571593299</v>
      </c>
      <c r="H19">
        <v>4.2539999999999996</v>
      </c>
      <c r="I19">
        <v>1007.4</v>
      </c>
      <c r="J19">
        <v>-30.204999999999998</v>
      </c>
      <c r="K19">
        <v>0</v>
      </c>
      <c r="N19" s="1" t="str">
        <f t="shared" si="0"/>
        <v>header set_gas=129
set_shr=1.05
set_mw=200
set_c1=0.58
set_c2=0.0436757539973
set_c3=0.595386285715933
set_a=4.254
set_b=1007.4
set_c=-30.205
set_d=0</v>
      </c>
    </row>
    <row r="20" spans="1:14">
      <c r="A20">
        <v>70</v>
      </c>
      <c r="B20" t="s">
        <v>40</v>
      </c>
      <c r="C20">
        <v>1.1499999999999999</v>
      </c>
      <c r="D20">
        <v>117.16</v>
      </c>
      <c r="E20">
        <v>0.62</v>
      </c>
      <c r="F20">
        <v>5.9057999999999999E-2</v>
      </c>
      <c r="G20">
        <v>0.57377800000000001</v>
      </c>
      <c r="H20">
        <v>3.9514499999999999</v>
      </c>
      <c r="I20">
        <v>973.995</v>
      </c>
      <c r="J20">
        <v>-38.994</v>
      </c>
      <c r="K20">
        <v>0</v>
      </c>
      <c r="N20" s="1" t="str">
        <f t="shared" si="0"/>
        <v>header set_gas=70
set_shr=1.15
set_mw=117.16
set_c1=0.62
set_c2=0.059058
set_c3=0.573778
set_a=3.95145
set_b=973.995
set_c=-38.994
set_d=0</v>
      </c>
    </row>
    <row r="21" spans="1:14">
      <c r="A21">
        <v>39</v>
      </c>
      <c r="B21" t="s">
        <v>41</v>
      </c>
      <c r="C21">
        <v>1.2689999999999999</v>
      </c>
      <c r="D21">
        <v>32</v>
      </c>
      <c r="E21">
        <v>0.624</v>
      </c>
      <c r="F21">
        <f t="shared" ref="F21" si="1">(1/D21)^0.5*(2*C21/(C21+1))^0.5*(2/(C21+1))^(1/(C21-1))</f>
        <v>0.11695515536821199</v>
      </c>
      <c r="G21">
        <f t="shared" ref="G21" si="2">(2/(C21+1))^(C21/(C21-1))</f>
        <v>0.55139306326529003</v>
      </c>
      <c r="H21">
        <v>1</v>
      </c>
      <c r="I21">
        <v>0</v>
      </c>
      <c r="J21">
        <v>0</v>
      </c>
      <c r="K21">
        <v>0</v>
      </c>
      <c r="N21" s="1" t="str">
        <f t="shared" si="0"/>
        <v>header set_gas=39
set_shr=1.269
set_mw=32
set_c1=0.624
set_c2=0.116955155368212
set_c3=0.55139306326529
set_a=1
set_b=0
set_c=0
set_d=0</v>
      </c>
    </row>
    <row r="22" spans="1:14">
      <c r="A22">
        <v>7</v>
      </c>
      <c r="B22" t="s">
        <v>42</v>
      </c>
      <c r="C22">
        <v>1.41</v>
      </c>
      <c r="D22">
        <v>2</v>
      </c>
      <c r="E22">
        <v>0.5</v>
      </c>
      <c r="F22">
        <v>0.485368572376218</v>
      </c>
      <c r="G22">
        <v>0.52660329279909501</v>
      </c>
      <c r="H22">
        <v>1</v>
      </c>
      <c r="I22">
        <v>0</v>
      </c>
      <c r="J22">
        <v>0</v>
      </c>
      <c r="K22">
        <v>0</v>
      </c>
      <c r="N22" s="1" t="str">
        <f t="shared" si="0"/>
        <v>header set_gas=7
set_shr=1.41
set_mw=2
set_c1=0.5
set_c2=0.485368572376218
set_c3=0.526603292799095
set_a=1
set_b=0
set_c=0
set_d=0</v>
      </c>
    </row>
    <row r="30" spans="1:14" ht="28.5">
      <c r="M30" s="2" t="s">
        <v>43</v>
      </c>
    </row>
  </sheetData>
  <phoneticPr fontId="5" type="noConversion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44"/>
  <sheetViews>
    <sheetView topLeftCell="A10" zoomScale="130" zoomScaleNormal="130" workbookViewId="0">
      <selection activeCell="A29" sqref="A29:XFD31"/>
    </sheetView>
  </sheetViews>
  <sheetFormatPr defaultColWidth="9" defaultRowHeight="14.25"/>
  <cols>
    <col min="1" max="1" width="20" customWidth="1"/>
    <col min="2" max="2" width="17.625" customWidth="1"/>
    <col min="4" max="4" width="18.625" customWidth="1"/>
    <col min="5" max="5" width="10.375" customWidth="1"/>
    <col min="6" max="6" width="10" customWidth="1"/>
    <col min="7" max="7" width="7.875" customWidth="1"/>
    <col min="8" max="8" width="8.125" customWidth="1"/>
    <col min="9" max="9" width="8.75" customWidth="1"/>
    <col min="10" max="10" width="6.25" customWidth="1"/>
    <col min="11" max="12" width="14.625" customWidth="1"/>
    <col min="13" max="13" width="14.75" customWidth="1"/>
    <col min="14" max="14" width="15.875" customWidth="1"/>
    <col min="15" max="15" width="12.5" customWidth="1"/>
    <col min="17" max="17" width="10.5" customWidth="1"/>
    <col min="18" max="18" width="12.625"/>
    <col min="19" max="20" width="6" customWidth="1"/>
    <col min="23" max="23" width="14.25" customWidth="1"/>
  </cols>
  <sheetData>
    <row r="1" spans="1:23">
      <c r="A1" t="s">
        <v>44</v>
      </c>
      <c r="B1" t="s">
        <v>45</v>
      </c>
      <c r="C1" t="s">
        <v>46</v>
      </c>
    </row>
    <row r="2" spans="1:23">
      <c r="A2" t="s">
        <v>47</v>
      </c>
      <c r="B2" t="s">
        <v>48</v>
      </c>
      <c r="C2" t="s">
        <v>49</v>
      </c>
    </row>
    <row r="3" spans="1:23">
      <c r="A3" t="s">
        <v>50</v>
      </c>
      <c r="B3" t="s">
        <v>51</v>
      </c>
    </row>
    <row r="4" spans="1:23">
      <c r="A4" t="s">
        <v>52</v>
      </c>
      <c r="B4" t="s">
        <v>53</v>
      </c>
    </row>
    <row r="5" spans="1:23">
      <c r="A5" t="s">
        <v>54</v>
      </c>
      <c r="B5" t="s">
        <v>55</v>
      </c>
    </row>
    <row r="6" spans="1:23">
      <c r="A6" t="s">
        <v>56</v>
      </c>
      <c r="B6" t="s">
        <v>57</v>
      </c>
    </row>
    <row r="7" spans="1:23">
      <c r="A7" t="s">
        <v>58</v>
      </c>
      <c r="B7" t="s">
        <v>59</v>
      </c>
    </row>
    <row r="8" spans="1:23">
      <c r="A8" t="s">
        <v>60</v>
      </c>
    </row>
    <row r="12" spans="1:23" s="5" customFormat="1">
      <c r="A12" s="5" t="s">
        <v>61</v>
      </c>
      <c r="B12" s="5" t="s">
        <v>62</v>
      </c>
      <c r="E12" s="5" t="s">
        <v>63</v>
      </c>
      <c r="H12" s="5" t="s">
        <v>64</v>
      </c>
      <c r="I12" s="5" t="s">
        <v>65</v>
      </c>
      <c r="J12" s="5" t="s">
        <v>66</v>
      </c>
      <c r="K12" s="5" t="s">
        <v>67</v>
      </c>
      <c r="L12" s="5" t="s">
        <v>68</v>
      </c>
      <c r="M12" s="5" t="s">
        <v>69</v>
      </c>
      <c r="N12" s="5" t="s">
        <v>70</v>
      </c>
      <c r="O12" s="5" t="s">
        <v>71</v>
      </c>
      <c r="P12" s="5" t="s">
        <v>72</v>
      </c>
      <c r="Q12" s="5" t="s">
        <v>73</v>
      </c>
      <c r="R12" s="5" t="s">
        <v>74</v>
      </c>
      <c r="S12" s="5" t="s">
        <v>75</v>
      </c>
      <c r="T12" s="5" t="s">
        <v>76</v>
      </c>
      <c r="U12" s="5" t="s">
        <v>77</v>
      </c>
      <c r="V12" s="5" t="s">
        <v>78</v>
      </c>
      <c r="W12" s="5" t="s">
        <v>79</v>
      </c>
    </row>
    <row r="13" spans="1:23" s="5" customFormat="1">
      <c r="B13" s="5" t="s">
        <v>80</v>
      </c>
      <c r="C13" s="5" t="s">
        <v>81</v>
      </c>
      <c r="D13" s="5" t="s">
        <v>82</v>
      </c>
      <c r="E13" s="5" t="s">
        <v>80</v>
      </c>
      <c r="F13" s="5" t="s">
        <v>81</v>
      </c>
      <c r="G13" s="5" t="s">
        <v>82</v>
      </c>
    </row>
    <row r="14" spans="1:23">
      <c r="A14" t="s">
        <v>83</v>
      </c>
      <c r="B14">
        <v>-0.33813199999999999</v>
      </c>
      <c r="C14">
        <v>2.8140770000000002</v>
      </c>
      <c r="D14">
        <v>-1.645232</v>
      </c>
      <c r="E14">
        <v>-2.05063</v>
      </c>
      <c r="F14">
        <v>22.548559999999998</v>
      </c>
      <c r="G14">
        <v>-10.3344</v>
      </c>
      <c r="H14">
        <v>-5.1999999999999998E-2</v>
      </c>
      <c r="I14">
        <v>1.1028</v>
      </c>
      <c r="J14">
        <v>300</v>
      </c>
      <c r="K14">
        <v>-6.7396554885895297</v>
      </c>
      <c r="L14">
        <v>87.188622436389707</v>
      </c>
      <c r="M14">
        <v>-375.138679029412</v>
      </c>
      <c r="N14">
        <v>698.40458649347795</v>
      </c>
      <c r="O14">
        <v>-455.63894455437099</v>
      </c>
      <c r="P14">
        <v>0.46439999999999998</v>
      </c>
      <c r="Q14">
        <v>3195</v>
      </c>
      <c r="R14">
        <v>3195.5524099999998</v>
      </c>
      <c r="T14" t="str">
        <f>A14</f>
        <v>G23_PILOT_001</v>
      </c>
      <c r="U14" t="str">
        <f>$B$6&amp;$A$1&amp;CHAR(10)&amp;$A$2&amp;B14&amp;CHAR(10)&amp;$A$3&amp;C14&amp;CHAR(10)&amp;$A$4&amp;D14&amp;CHAR(10)&amp;$A$5&amp;H14&amp;CHAR(10)&amp;$A$6&amp;I14&amp;CHAR(10)&amp;$A$7&amp;J14</f>
        <v>header  set_nozzle=0
set_gerr2=-0.338132
set_gerr1=2.814077
set_gerr0=-1.645232
set_s1=-0.052
set_s2=1.1028
set_tr=300</v>
      </c>
      <c r="V14" t="str">
        <f>$B$6&amp;$B$1&amp;O14&amp;CHAR(10)&amp;$B$2&amp;N14&amp;CHAR(10)&amp;$B$3&amp;M14&amp;CHAR(10)&amp;$B$4&amp;L14&amp;CHAR(10)&amp;$B$5&amp;K14&amp;CHAR(10)&amp;$B$7</f>
        <v>header  set_bp0=-455.638944554371
set_bp1=698.404586493478
set_bp2=-375.138679029412
set_bp3=87.1886224363897
set_bp4=-6.73965548858953
purge_time=120</v>
      </c>
      <c r="W14" t="str">
        <f>$B$6&amp;$A$8&amp;CHAR(10)&amp;$A$2&amp;E14&amp;CHAR(10)&amp;$A$3&amp;F14&amp;CHAR(10)&amp;$A$4&amp;G14&amp;CHAR(10)&amp;$A$5&amp;H14&amp;CHAR(10)&amp;$A$6&amp;I14&amp;CHAR(10)&amp;$A$7&amp;J14&amp;CHAR(10)&amp;$C$1&amp;P14&amp;CHAR(10)&amp;$C$2&amp;R14</f>
        <v>header  set_nozzle=1
set_gerr2=-2.05063
set_gerr1=22.54856
set_gerr0=-10.3344
set_s1=-0.052
set_s2=1.1028
set_tr=300
set_v1=0.4644
set_v2=3195.55241</v>
      </c>
    </row>
    <row r="15" spans="1:23" ht="15.75">
      <c r="A15" t="s">
        <v>84</v>
      </c>
      <c r="B15" s="6">
        <v>-0.13090099999999999</v>
      </c>
      <c r="C15" s="6">
        <v>1.5433110000000001</v>
      </c>
      <c r="D15" s="6">
        <v>-0.775613</v>
      </c>
      <c r="E15" s="6">
        <v>-1.80877</v>
      </c>
      <c r="F15" s="6">
        <v>20.541810000000002</v>
      </c>
      <c r="G15" s="6">
        <v>-9.7404799999999998</v>
      </c>
      <c r="H15">
        <v>-5.1999999999999998E-2</v>
      </c>
      <c r="I15">
        <v>1.1028</v>
      </c>
      <c r="J15" s="6">
        <v>300</v>
      </c>
      <c r="K15" s="6">
        <v>-8.7614999999999998</v>
      </c>
      <c r="L15" s="6">
        <v>113.34</v>
      </c>
      <c r="M15" s="6">
        <v>-487.68</v>
      </c>
      <c r="N15" s="6">
        <v>907.93</v>
      </c>
      <c r="O15" s="6">
        <v>-592.33000000000004</v>
      </c>
      <c r="P15">
        <v>0.46439999999999998</v>
      </c>
      <c r="Q15">
        <v>3195</v>
      </c>
      <c r="R15">
        <v>3195</v>
      </c>
      <c r="T15" t="str">
        <f t="shared" ref="T15:T22" si="0">A15</f>
        <v>工程样机</v>
      </c>
      <c r="U15" t="str">
        <f t="shared" ref="U15:U22" si="1">$B$6&amp;$A$1&amp;CHAR(10)&amp;$A$2&amp;B15&amp;CHAR(10)&amp;$A$3&amp;C15&amp;CHAR(10)&amp;$A$4&amp;D15&amp;CHAR(10)&amp;$A$5&amp;H15&amp;CHAR(10)&amp;$A$6&amp;I15&amp;CHAR(10)&amp;$A$7&amp;J15</f>
        <v>header  set_nozzle=0
set_gerr2=-0.130901
set_gerr1=1.543311
set_gerr0=-0.775613
set_s1=-0.052
set_s2=1.1028
set_tr=300</v>
      </c>
      <c r="V15" t="str">
        <f t="shared" ref="V15:V22" si="2">$B$6&amp;$B$1&amp;O15&amp;CHAR(10)&amp;$B$2&amp;N15&amp;CHAR(10)&amp;$B$3&amp;M15&amp;CHAR(10)&amp;$B$4&amp;L15&amp;CHAR(10)&amp;$B$5&amp;K15&amp;CHAR(10)&amp;$B$7</f>
        <v>header  set_bp0=-592.33
set_bp1=907.93
set_bp2=-487.68
set_bp3=113.34
set_bp4=-8.7615
purge_time=120</v>
      </c>
      <c r="W15" t="str">
        <f t="shared" ref="W15:W22" si="3">$B$6&amp;$A$8&amp;CHAR(10)&amp;$A$2&amp;E15&amp;CHAR(10)&amp;$A$3&amp;F15&amp;CHAR(10)&amp;$A$4&amp;G15&amp;CHAR(10)&amp;$A$5&amp;H15&amp;CHAR(10)&amp;$A$6&amp;I15&amp;CHAR(10)&amp;$A$7&amp;J15&amp;CHAR(10)&amp;$C$1&amp;P15&amp;CHAR(10)&amp;$C$2&amp;R15</f>
        <v>header  set_nozzle=1
set_gerr2=-1.80877
set_gerr1=20.54181
set_gerr0=-9.74048
set_s1=-0.052
set_s2=1.1028
set_tr=300
set_v1=0.4644
set_v2=3195</v>
      </c>
    </row>
    <row r="16" spans="1:23" ht="15.75">
      <c r="A16" t="s">
        <v>85</v>
      </c>
      <c r="B16">
        <v>-0.18542162508070001</v>
      </c>
      <c r="C16">
        <v>1.9169680267538001</v>
      </c>
      <c r="D16">
        <v>-1.40999305747901</v>
      </c>
      <c r="E16">
        <v>-4.5657610190646301</v>
      </c>
      <c r="F16">
        <v>44.304455448528699</v>
      </c>
      <c r="G16">
        <v>-57.436038812065597</v>
      </c>
      <c r="H16">
        <v>-5.1999999999999998E-2</v>
      </c>
      <c r="I16">
        <v>1.1028</v>
      </c>
      <c r="J16" s="6">
        <v>300</v>
      </c>
      <c r="K16">
        <v>-11.251648982377301</v>
      </c>
      <c r="L16">
        <v>154.40745158223399</v>
      </c>
      <c r="M16">
        <v>-725.11479760154805</v>
      </c>
      <c r="N16">
        <v>1478.81013841609</v>
      </c>
      <c r="O16">
        <v>-1080.90411587727</v>
      </c>
      <c r="P16">
        <v>0.46439999999999998</v>
      </c>
      <c r="Q16">
        <v>3186</v>
      </c>
      <c r="R16">
        <v>3178</v>
      </c>
      <c r="S16" t="s">
        <v>86</v>
      </c>
      <c r="T16" t="str">
        <f t="shared" si="0"/>
        <v>G23_PILOT_002</v>
      </c>
      <c r="U16" t="str">
        <f t="shared" si="1"/>
        <v>header  set_nozzle=0
set_gerr2=-0.1854216250807
set_gerr1=1.9169680267538
set_gerr0=-1.40999305747901
set_s1=-0.052
set_s2=1.1028
set_tr=300</v>
      </c>
      <c r="V16" t="str">
        <f t="shared" si="2"/>
        <v>header  set_bp0=-1080.90411587727
set_bp1=1478.81013841609
set_bp2=-725.114797601548
set_bp3=154.407451582234
set_bp4=-11.2516489823773
purge_time=120</v>
      </c>
      <c r="W16" t="str">
        <f t="shared" si="3"/>
        <v>header  set_nozzle=1
set_gerr2=-4.56576101906463
set_gerr1=44.3044554485287
set_gerr0=-57.4360388120656
set_s1=-0.052
set_s2=1.1028
set_tr=300
set_v1=0.4644
set_v2=3178</v>
      </c>
    </row>
    <row r="17" spans="1:23" ht="15.75">
      <c r="A17" t="s">
        <v>87</v>
      </c>
      <c r="B17">
        <v>-0.48090594855137297</v>
      </c>
      <c r="C17">
        <v>4.65347670238517</v>
      </c>
      <c r="D17">
        <v>-1.49310550768043</v>
      </c>
      <c r="E17">
        <v>-4.3290425861030197</v>
      </c>
      <c r="F17">
        <v>42.070737876288703</v>
      </c>
      <c r="G17">
        <v>-51.551858930357902</v>
      </c>
      <c r="H17">
        <v>-5.1999999999999998E-2</v>
      </c>
      <c r="I17">
        <v>1.1028</v>
      </c>
      <c r="J17" s="6">
        <v>300</v>
      </c>
      <c r="K17">
        <v>-14.106183011119199</v>
      </c>
      <c r="L17">
        <v>195.66123310039899</v>
      </c>
      <c r="M17">
        <v>-938.62557947154698</v>
      </c>
      <c r="N17">
        <v>1947.9645605580899</v>
      </c>
      <c r="O17">
        <v>-1453.5292052402001</v>
      </c>
      <c r="P17">
        <v>0.46439999999999998</v>
      </c>
      <c r="Q17">
        <v>3135.7858660000002</v>
      </c>
      <c r="R17">
        <v>3189</v>
      </c>
      <c r="T17" t="str">
        <f t="shared" si="0"/>
        <v>G23_PILOT_003</v>
      </c>
      <c r="U17" t="str">
        <f t="shared" si="1"/>
        <v>header  set_nozzle=0
set_gerr2=-0.480905948551373
set_gerr1=4.65347670238517
set_gerr0=-1.49310550768043
set_s1=-0.052
set_s2=1.1028
set_tr=300</v>
      </c>
      <c r="V17" t="str">
        <f t="shared" si="2"/>
        <v>header  set_bp0=-1453.5292052402
set_bp1=1947.96456055809
set_bp2=-938.625579471547
set_bp3=195.661233100399
set_bp4=-14.1061830111192
purge_time=120</v>
      </c>
      <c r="W17" t="str">
        <f t="shared" si="3"/>
        <v>header  set_nozzle=1
set_gerr2=-4.32904258610302
set_gerr1=42.0707378762887
set_gerr0=-51.5518589303579
set_s1=-0.052
set_s2=1.1028
set_tr=300
set_v1=0.4644
set_v2=3189</v>
      </c>
    </row>
    <row r="18" spans="1:23">
      <c r="A18" t="s">
        <v>88</v>
      </c>
      <c r="B18">
        <v>-0.61938483958160095</v>
      </c>
      <c r="C18">
        <v>6.0034633671039703</v>
      </c>
      <c r="D18">
        <v>-2.3330726502605201</v>
      </c>
      <c r="E18">
        <v>-2.05063</v>
      </c>
      <c r="F18">
        <v>22.548559999999998</v>
      </c>
      <c r="G18">
        <v>-10.3344</v>
      </c>
      <c r="H18">
        <v>-5.1999999999999998E-2</v>
      </c>
      <c r="I18">
        <v>1.1028</v>
      </c>
      <c r="J18">
        <v>300</v>
      </c>
      <c r="K18">
        <v>-5.5109501918868702</v>
      </c>
      <c r="L18">
        <v>68.6443991098254</v>
      </c>
      <c r="M18">
        <v>-259.41613826665002</v>
      </c>
      <c r="N18">
        <v>409.72945005738501</v>
      </c>
      <c r="O18">
        <v>-208.778662860889</v>
      </c>
      <c r="P18">
        <v>0.46439999999999998</v>
      </c>
      <c r="Q18">
        <v>3195</v>
      </c>
      <c r="R18">
        <v>3195</v>
      </c>
      <c r="T18" t="str">
        <f t="shared" si="0"/>
        <v>G23_PILOT_001_改喷嘴</v>
      </c>
      <c r="U18" t="str">
        <f t="shared" si="1"/>
        <v>header  set_nozzle=0
set_gerr2=-0.619384839581601
set_gerr1=6.00346336710397
set_gerr0=-2.33307265026052
set_s1=-0.052
set_s2=1.1028
set_tr=300</v>
      </c>
      <c r="V18" t="str">
        <f t="shared" si="2"/>
        <v>header  set_bp0=-208.778662860889
set_bp1=409.729450057385
set_bp2=-259.41613826665
set_bp3=68.6443991098254
set_bp4=-5.51095019188687
purge_time=120</v>
      </c>
      <c r="W18" t="str">
        <f t="shared" si="3"/>
        <v>header  set_nozzle=1
set_gerr2=-2.05063
set_gerr1=22.54856
set_gerr0=-10.3344
set_s1=-0.052
set_s2=1.1028
set_tr=300
set_v1=0.4644
set_v2=3195</v>
      </c>
    </row>
    <row r="19" spans="1:23">
      <c r="A19" t="s">
        <v>89</v>
      </c>
      <c r="B19">
        <v>-0.32862675583523199</v>
      </c>
      <c r="C19">
        <v>3.3141443374848798</v>
      </c>
      <c r="D19">
        <v>-0.83253823998076804</v>
      </c>
      <c r="E19">
        <v>-4.5657610190646301</v>
      </c>
      <c r="F19">
        <v>44.304455448528699</v>
      </c>
      <c r="G19">
        <v>-57.436038812065597</v>
      </c>
      <c r="H19">
        <v>-5.1999999999999998E-2</v>
      </c>
      <c r="I19">
        <v>1.1028</v>
      </c>
      <c r="J19">
        <v>300</v>
      </c>
      <c r="K19">
        <v>-5.1791096962242298</v>
      </c>
      <c r="L19">
        <v>63.126969122863997</v>
      </c>
      <c r="M19">
        <v>-231.01559351869901</v>
      </c>
      <c r="N19">
        <v>353.78002402822</v>
      </c>
      <c r="O19">
        <v>-174.12568249367999</v>
      </c>
      <c r="P19">
        <v>0.46439999999999998</v>
      </c>
      <c r="Q19">
        <v>3186.4517089999999</v>
      </c>
      <c r="R19">
        <v>3178</v>
      </c>
      <c r="T19" t="str">
        <f t="shared" si="0"/>
        <v>G23_PILOT_002_改喷嘴</v>
      </c>
      <c r="U19" t="str">
        <f t="shared" si="1"/>
        <v>header  set_nozzle=0
set_gerr2=-0.328626755835232
set_gerr1=3.31414433748488
set_gerr0=-0.832538239980768
set_s1=-0.052
set_s2=1.1028
set_tr=300</v>
      </c>
      <c r="V19" t="str">
        <f t="shared" si="2"/>
        <v>header  set_bp0=-174.12568249368
set_bp1=353.78002402822
set_bp2=-231.015593518699
set_bp3=63.126969122864
set_bp4=-5.17910969622423
purge_time=120</v>
      </c>
      <c r="W19" t="str">
        <f t="shared" si="3"/>
        <v>header  set_nozzle=1
set_gerr2=-4.56576101906463
set_gerr1=44.3044554485287
set_gerr0=-57.4360388120656
set_s1=-0.052
set_s2=1.1028
set_tr=300
set_v1=0.4644
set_v2=3178</v>
      </c>
    </row>
    <row r="20" spans="1:23">
      <c r="A20" t="s">
        <v>90</v>
      </c>
      <c r="B20">
        <v>-0.39432378898833098</v>
      </c>
      <c r="C20">
        <v>3.7604065992857101</v>
      </c>
      <c r="D20">
        <v>-1.56521407002074</v>
      </c>
      <c r="E20">
        <v>-4.4486345189764904</v>
      </c>
      <c r="F20">
        <v>43.196020701704398</v>
      </c>
      <c r="G20">
        <v>-53.906343551852601</v>
      </c>
      <c r="H20">
        <v>-5.1999999999999998E-2</v>
      </c>
      <c r="I20">
        <v>1.1028</v>
      </c>
      <c r="J20">
        <v>300</v>
      </c>
      <c r="K20">
        <v>-4.9945437430130299</v>
      </c>
      <c r="L20">
        <v>61.8417356214756</v>
      </c>
      <c r="M20">
        <v>-231.51962611406699</v>
      </c>
      <c r="N20">
        <v>360.830904566161</v>
      </c>
      <c r="O20">
        <v>-182.363556503213</v>
      </c>
      <c r="P20">
        <v>0.46439999999999998</v>
      </c>
      <c r="Q20">
        <v>3153.7201679999998</v>
      </c>
      <c r="R20">
        <v>3153.7201679999998</v>
      </c>
      <c r="T20" t="str">
        <f t="shared" si="0"/>
        <v>G23_PILOT_004</v>
      </c>
      <c r="U20" t="str">
        <f t="shared" si="1"/>
        <v>header  set_nozzle=0
set_gerr2=-0.394323788988331
set_gerr1=3.76040659928571
set_gerr0=-1.56521407002074
set_s1=-0.052
set_s2=1.1028
set_tr=300</v>
      </c>
      <c r="V20" t="str">
        <f t="shared" si="2"/>
        <v>header  set_bp0=-182.363556503213
set_bp1=360.830904566161
set_bp2=-231.519626114067
set_bp3=61.8417356214756
set_bp4=-4.99454374301303
purge_time=120</v>
      </c>
      <c r="W20" t="str">
        <f t="shared" si="3"/>
        <v>header  set_nozzle=1
set_gerr2=-4.44863451897649
set_gerr1=43.1960207017044
set_gerr0=-53.9063435518526
set_s1=-0.052
set_s2=1.1028
set_tr=300
set_v1=0.4644
set_v2=3153.720168</v>
      </c>
    </row>
    <row r="21" spans="1:23">
      <c r="A21" t="s">
        <v>91</v>
      </c>
      <c r="B21">
        <v>-0.30415660808999301</v>
      </c>
      <c r="C21">
        <v>3.3755036205000901</v>
      </c>
      <c r="D21">
        <v>-1.41381991991565</v>
      </c>
      <c r="E21">
        <v>-2.6703658876088001</v>
      </c>
      <c r="F21">
        <v>27.251694644548301</v>
      </c>
      <c r="G21">
        <v>-19.794408145566901</v>
      </c>
      <c r="H21">
        <v>-5.1999999999999998E-2</v>
      </c>
      <c r="I21">
        <v>1.1028</v>
      </c>
      <c r="J21">
        <v>300</v>
      </c>
      <c r="K21">
        <v>-5.1759848945157696</v>
      </c>
      <c r="L21">
        <v>63.567550014420803</v>
      </c>
      <c r="M21">
        <v>-236.95196348781201</v>
      </c>
      <c r="N21">
        <v>368.09174938550001</v>
      </c>
      <c r="O21">
        <v>-185.68923944104</v>
      </c>
      <c r="P21">
        <v>0.46439999999999998</v>
      </c>
      <c r="Q21">
        <v>3170.2968860000001</v>
      </c>
      <c r="R21">
        <v>3193.5</v>
      </c>
      <c r="T21" t="str">
        <f t="shared" si="0"/>
        <v>G23_PILOT_006</v>
      </c>
      <c r="U21" t="str">
        <f t="shared" si="1"/>
        <v>header  set_nozzle=0
set_gerr2=-0.304156608089993
set_gerr1=3.37550362050009
set_gerr0=-1.41381991991565
set_s1=-0.052
set_s2=1.1028
set_tr=300</v>
      </c>
      <c r="V21" t="str">
        <f t="shared" si="2"/>
        <v>header  set_bp0=-185.68923944104
set_bp1=368.0917493855
set_bp2=-236.951963487812
set_bp3=63.5675500144208
set_bp4=-5.17598489451577
purge_time=120</v>
      </c>
      <c r="W21" t="str">
        <f t="shared" si="3"/>
        <v>header  set_nozzle=1
set_gerr2=-2.6703658876088
set_gerr1=27.2516946445483
set_gerr0=-19.7944081455669
set_s1=-0.052
set_s2=1.1028
set_tr=300
set_v1=0.4644
set_v2=3193.5</v>
      </c>
    </row>
    <row r="22" spans="1:23">
      <c r="A22" t="s">
        <v>92</v>
      </c>
      <c r="B22">
        <v>-0.24013928353727601</v>
      </c>
      <c r="C22">
        <v>2.9093504149718998</v>
      </c>
      <c r="D22">
        <v>-0.51718913592465299</v>
      </c>
      <c r="E22">
        <v>-2.4487720018934001</v>
      </c>
      <c r="F22">
        <v>25.311062329080201</v>
      </c>
      <c r="G22">
        <v>-15.9227067368693</v>
      </c>
      <c r="H22">
        <v>-5.1999999999999998E-2</v>
      </c>
      <c r="I22">
        <v>1.1028</v>
      </c>
      <c r="J22">
        <v>300</v>
      </c>
      <c r="K22">
        <v>-5.2123989217500304</v>
      </c>
      <c r="L22">
        <v>63.8438030364117</v>
      </c>
      <c r="M22">
        <v>-237.58061200522201</v>
      </c>
      <c r="N22">
        <v>368.49509959579802</v>
      </c>
      <c r="O22">
        <v>-186.17710678040501</v>
      </c>
      <c r="P22">
        <v>0.46439999999999998</v>
      </c>
      <c r="Q22">
        <v>3143.2415759999999</v>
      </c>
      <c r="R22">
        <v>3177.6</v>
      </c>
      <c r="T22" t="str">
        <f t="shared" si="0"/>
        <v>G23_PILOT_008</v>
      </c>
      <c r="U22" t="str">
        <f t="shared" si="1"/>
        <v>header  set_nozzle=0
set_gerr2=-0.240139283537276
set_gerr1=2.9093504149719
set_gerr0=-0.517189135924653
set_s1=-0.052
set_s2=1.1028
set_tr=300</v>
      </c>
      <c r="V22" t="str">
        <f t="shared" si="2"/>
        <v>header  set_bp0=-186.177106780405
set_bp1=368.495099595798
set_bp2=-237.580612005222
set_bp3=63.8438030364117
set_bp4=-5.21239892175003
purge_time=120</v>
      </c>
      <c r="W22" t="str">
        <f t="shared" si="3"/>
        <v>header  set_nozzle=1
set_gerr2=-2.4487720018934
set_gerr1=25.3110623290802
set_gerr0=-15.9227067368693
set_s1=-0.052
set_s2=1.1028
set_tr=300
set_v1=0.4644
set_v2=3177.6</v>
      </c>
    </row>
    <row r="23" spans="1:23">
      <c r="A23" t="s">
        <v>93</v>
      </c>
      <c r="B23">
        <v>-0.162104973520345</v>
      </c>
      <c r="C23">
        <v>2.4930778200919699</v>
      </c>
      <c r="D23">
        <v>-0.18286754178947301</v>
      </c>
      <c r="E23">
        <v>-2.6176090872467199</v>
      </c>
      <c r="F23">
        <v>26.524102762752701</v>
      </c>
      <c r="G23">
        <v>-18.437457631002601</v>
      </c>
      <c r="H23">
        <v>-5.1999999999999998E-2</v>
      </c>
      <c r="I23">
        <v>1.1028</v>
      </c>
      <c r="J23">
        <v>300</v>
      </c>
      <c r="K23">
        <v>-5.2127157269919904</v>
      </c>
      <c r="L23">
        <v>64.008584291967097</v>
      </c>
      <c r="M23">
        <v>-238.31186625738201</v>
      </c>
      <c r="N23">
        <v>369.92725476679101</v>
      </c>
      <c r="O23">
        <v>-185.19770117034599</v>
      </c>
      <c r="P23">
        <v>0.46439999999999998</v>
      </c>
      <c r="Q23">
        <v>3182.74</v>
      </c>
      <c r="R23">
        <v>3182.7429750000001</v>
      </c>
      <c r="T23" t="str">
        <f t="shared" ref="T23:T28" si="4">A23</f>
        <v>G23_PILOT_009</v>
      </c>
      <c r="U23" t="str">
        <f t="shared" ref="U23:U31" si="5">$B$6&amp;$A$1&amp;CHAR(10)&amp;$A$2&amp;B23&amp;CHAR(10)&amp;$A$3&amp;C23&amp;CHAR(10)&amp;$A$4&amp;D23&amp;CHAR(10)&amp;$A$5&amp;H23&amp;CHAR(10)&amp;$A$6&amp;I23&amp;CHAR(10)&amp;$A$7&amp;J23</f>
        <v>header  set_nozzle=0
set_gerr2=-0.162104973520345
set_gerr1=2.49307782009197
set_gerr0=-0.182867541789473
set_s1=-0.052
set_s2=1.1028
set_tr=300</v>
      </c>
      <c r="V23" t="str">
        <f t="shared" ref="V23:V31" si="6">$B$6&amp;$B$1&amp;O23&amp;CHAR(10)&amp;$B$2&amp;N23&amp;CHAR(10)&amp;$B$3&amp;M23&amp;CHAR(10)&amp;$B$4&amp;L23&amp;CHAR(10)&amp;$B$5&amp;K23&amp;CHAR(10)&amp;$B$7</f>
        <v>header  set_bp0=-185.197701170346
set_bp1=369.927254766791
set_bp2=-238.311866257382
set_bp3=64.0085842919671
set_bp4=-5.21271572699199
purge_time=120</v>
      </c>
      <c r="W23" t="str">
        <f t="shared" ref="W23:W31" si="7">$B$6&amp;$A$8&amp;CHAR(10)&amp;$A$2&amp;E23&amp;CHAR(10)&amp;$A$3&amp;F23&amp;CHAR(10)&amp;$A$4&amp;G23&amp;CHAR(10)&amp;$A$5&amp;H23&amp;CHAR(10)&amp;$A$6&amp;I23&amp;CHAR(10)&amp;$A$7&amp;J23&amp;CHAR(10)&amp;$C$1&amp;P23&amp;CHAR(10)&amp;$C$2&amp;R23</f>
        <v>header  set_nozzle=1
set_gerr2=-2.61760908724672
set_gerr1=26.5241027627527
set_gerr0=-18.4374576310026
set_s1=-0.052
set_s2=1.1028
set_tr=300
set_v1=0.4644
set_v2=3182.742975</v>
      </c>
    </row>
    <row r="24" spans="1:23">
      <c r="A24" t="s">
        <v>94</v>
      </c>
      <c r="B24">
        <v>-0.26803059301138699</v>
      </c>
      <c r="C24">
        <v>2.91739685247398</v>
      </c>
      <c r="D24">
        <v>-1.1660299141339301</v>
      </c>
      <c r="E24">
        <v>-2.9231487202459001</v>
      </c>
      <c r="F24">
        <v>27.631232735723898</v>
      </c>
      <c r="G24">
        <v>-21.450885602512301</v>
      </c>
      <c r="H24">
        <v>-5.1999999999999998E-2</v>
      </c>
      <c r="I24">
        <v>1.1028</v>
      </c>
      <c r="J24">
        <v>300</v>
      </c>
      <c r="K24">
        <v>-5.4117689740769901</v>
      </c>
      <c r="L24">
        <v>66.1134699426362</v>
      </c>
      <c r="M24">
        <v>-246.84126346625601</v>
      </c>
      <c r="N24">
        <v>384.936934330236</v>
      </c>
      <c r="O24">
        <v>-196.26973130502199</v>
      </c>
      <c r="P24">
        <v>0.46439999999999998</v>
      </c>
      <c r="Q24">
        <v>3147.05</v>
      </c>
      <c r="R24">
        <v>3180.1179999999999</v>
      </c>
      <c r="T24" t="str">
        <f t="shared" si="4"/>
        <v>G23_PILOT_010</v>
      </c>
      <c r="U24" t="str">
        <f t="shared" si="5"/>
        <v>header  set_nozzle=0
set_gerr2=-0.268030593011387
set_gerr1=2.91739685247398
set_gerr0=-1.16602991413393
set_s1=-0.052
set_s2=1.1028
set_tr=300</v>
      </c>
      <c r="V24" t="str">
        <f t="shared" si="6"/>
        <v>header  set_bp0=-196.269731305022
set_bp1=384.936934330236
set_bp2=-246.841263466256
set_bp3=66.1134699426362
set_bp4=-5.41176897407699
purge_time=120</v>
      </c>
      <c r="W24" t="str">
        <f t="shared" si="7"/>
        <v>header  set_nozzle=1
set_gerr2=-2.9231487202459
set_gerr1=27.6312327357239
set_gerr0=-21.4508856025123
set_s1=-0.052
set_s2=1.1028
set_tr=300
set_v1=0.4644
set_v2=3180.118</v>
      </c>
    </row>
    <row r="25" spans="1:23">
      <c r="A25" t="s">
        <v>95</v>
      </c>
      <c r="B25">
        <v>-0.237658341020965</v>
      </c>
      <c r="C25">
        <v>2.7263836644201902</v>
      </c>
      <c r="D25">
        <v>-1.0527719743458199</v>
      </c>
      <c r="E25">
        <v>-2.8210339169623899</v>
      </c>
      <c r="F25">
        <v>26.9965317353026</v>
      </c>
      <c r="G25">
        <v>-20.826162031563701</v>
      </c>
      <c r="H25">
        <v>-5.1999999999999998E-2</v>
      </c>
      <c r="I25">
        <v>1.1028</v>
      </c>
      <c r="J25">
        <v>300</v>
      </c>
      <c r="K25">
        <v>-5.5276278518760504</v>
      </c>
      <c r="L25">
        <v>67.411703752303694</v>
      </c>
      <c r="M25">
        <v>-251.96761078077699</v>
      </c>
      <c r="N25">
        <v>393.24515616566498</v>
      </c>
      <c r="O25">
        <v>-201.03439183269199</v>
      </c>
      <c r="P25">
        <v>0.46439999999999998</v>
      </c>
      <c r="Q25">
        <v>3069.63</v>
      </c>
      <c r="R25">
        <v>3186.6170000000002</v>
      </c>
      <c r="T25" t="str">
        <f t="shared" si="4"/>
        <v>G23_PILOT_011</v>
      </c>
      <c r="U25" t="str">
        <f t="shared" si="5"/>
        <v>header  set_nozzle=0
set_gerr2=-0.237658341020965
set_gerr1=2.72638366442019
set_gerr0=-1.05277197434582
set_s1=-0.052
set_s2=1.1028
set_tr=300</v>
      </c>
      <c r="V25" t="str">
        <f t="shared" si="6"/>
        <v>header  set_bp0=-201.034391832692
set_bp1=393.245156165665
set_bp2=-251.967610780777
set_bp3=67.4117037523037
set_bp4=-5.52762785187605
purge_time=120</v>
      </c>
      <c r="W25" t="str">
        <f t="shared" si="7"/>
        <v>header  set_nozzle=1
set_gerr2=-2.82103391696239
set_gerr1=26.9965317353026
set_gerr0=-20.8261620315637
set_s1=-0.052
set_s2=1.1028
set_tr=300
set_v1=0.4644
set_v2=3186.617</v>
      </c>
    </row>
    <row r="26" spans="1:23">
      <c r="A26" t="s">
        <v>96</v>
      </c>
      <c r="B26">
        <v>-0.25096937378251999</v>
      </c>
      <c r="C26">
        <v>2.8412008352834799</v>
      </c>
      <c r="D26">
        <v>-1.14682154899529</v>
      </c>
      <c r="E26">
        <v>-3.1060344825307502</v>
      </c>
      <c r="F26">
        <v>29.531960180549099</v>
      </c>
      <c r="G26">
        <v>-26.187532419312198</v>
      </c>
      <c r="H26">
        <v>-5.1999999999999998E-2</v>
      </c>
      <c r="I26">
        <v>1.1028</v>
      </c>
      <c r="J26">
        <v>300</v>
      </c>
      <c r="K26" s="8">
        <v>-5.4921016490000003</v>
      </c>
      <c r="L26" s="8">
        <v>67.199697389999997</v>
      </c>
      <c r="M26" s="8">
        <v>-251.75492650000001</v>
      </c>
      <c r="N26" s="8">
        <v>394.18041670000002</v>
      </c>
      <c r="O26" s="8">
        <v>-202.2943636</v>
      </c>
      <c r="P26">
        <v>0.46439999999999998</v>
      </c>
      <c r="Q26">
        <v>3161.85</v>
      </c>
      <c r="R26">
        <v>3161.851326</v>
      </c>
      <c r="T26" t="str">
        <f t="shared" si="4"/>
        <v>G23_PILOT_012</v>
      </c>
      <c r="U26" t="str">
        <f t="shared" si="5"/>
        <v>header  set_nozzle=0
set_gerr2=-0.25096937378252
set_gerr1=2.84120083528348
set_gerr0=-1.14682154899529
set_s1=-0.052
set_s2=1.1028
set_tr=300</v>
      </c>
      <c r="V26" t="str">
        <f t="shared" si="6"/>
        <v>header  set_bp0=-202.2943636
set_bp1=394.1804167
set_bp2=-251.7549265
set_bp3=67.19969739
set_bp4=-5.492101649
purge_time=120</v>
      </c>
      <c r="W26" t="str">
        <f t="shared" si="7"/>
        <v>header  set_nozzle=1
set_gerr2=-3.10603448253075
set_gerr1=29.5319601805491
set_gerr0=-26.1875324193122
set_s1=-0.052
set_s2=1.1028
set_tr=300
set_v1=0.4644
set_v2=3161.851326</v>
      </c>
    </row>
    <row r="27" spans="1:23">
      <c r="A27" s="4" t="s">
        <v>97</v>
      </c>
      <c r="B27">
        <v>-0.26788610327151202</v>
      </c>
      <c r="C27">
        <v>2.9042116436086798</v>
      </c>
      <c r="D27">
        <v>-1.1840186898223399</v>
      </c>
      <c r="E27">
        <v>-2.9123537934240602</v>
      </c>
      <c r="F27">
        <v>27.3867386576567</v>
      </c>
      <c r="G27">
        <v>-20.955255896052201</v>
      </c>
      <c r="H27">
        <v>-5.1999999999999998E-2</v>
      </c>
      <c r="I27">
        <v>1.1028</v>
      </c>
      <c r="J27">
        <v>300</v>
      </c>
      <c r="K27">
        <v>-5.4293399546660597</v>
      </c>
      <c r="L27">
        <v>66.417595745138698</v>
      </c>
      <c r="M27">
        <v>-248.178766475656</v>
      </c>
      <c r="N27">
        <v>387.47900469313601</v>
      </c>
      <c r="O27">
        <v>-198.12551234375101</v>
      </c>
      <c r="P27">
        <v>0.46439999999999998</v>
      </c>
      <c r="Q27">
        <v>3090.23</v>
      </c>
      <c r="R27">
        <v>3181.1849999999999</v>
      </c>
      <c r="T27" t="str">
        <f t="shared" si="4"/>
        <v>G23_PILOT_013</v>
      </c>
      <c r="U27" t="str">
        <f t="shared" si="5"/>
        <v>header  set_nozzle=0
set_gerr2=-0.267886103271512
set_gerr1=2.90421164360868
set_gerr0=-1.18401868982234
set_s1=-0.052
set_s2=1.1028
set_tr=300</v>
      </c>
      <c r="V27" t="str">
        <f t="shared" si="6"/>
        <v>header  set_bp0=-198.125512343751
set_bp1=387.479004693136
set_bp2=-248.178766475656
set_bp3=66.4175957451387
set_bp4=-5.42933995466606
purge_time=120</v>
      </c>
      <c r="W27" t="str">
        <f t="shared" si="7"/>
        <v>header  set_nozzle=1
set_gerr2=-2.91235379342406
set_gerr1=27.3867386576567
set_gerr0=-20.9552558960522
set_s1=-0.052
set_s2=1.1028
set_tr=300
set_v1=0.4644
set_v2=3181.185</v>
      </c>
    </row>
    <row r="28" spans="1:23">
      <c r="A28" t="s">
        <v>98</v>
      </c>
      <c r="B28">
        <v>-0.246226692928559</v>
      </c>
      <c r="C28">
        <v>2.78236033148645</v>
      </c>
      <c r="D28">
        <v>-1.1247196750974</v>
      </c>
      <c r="E28">
        <v>-1.4695139176307701</v>
      </c>
      <c r="F28">
        <v>18.283299148561699</v>
      </c>
      <c r="G28">
        <v>-2.8048939841431202</v>
      </c>
      <c r="H28">
        <v>-5.1999999999999998E-2</v>
      </c>
      <c r="I28">
        <v>1.1028</v>
      </c>
      <c r="J28">
        <v>300</v>
      </c>
      <c r="K28">
        <v>-5.4452472251111201</v>
      </c>
      <c r="L28">
        <v>66.618164058087999</v>
      </c>
      <c r="M28">
        <v>-249.656669785784</v>
      </c>
      <c r="N28">
        <v>391.07222505396197</v>
      </c>
      <c r="O28">
        <v>-200.65324570912</v>
      </c>
      <c r="P28">
        <v>0.46439999999999998</v>
      </c>
      <c r="Q28">
        <v>3163.38</v>
      </c>
      <c r="R28">
        <v>3163.3856569999998</v>
      </c>
      <c r="T28" t="str">
        <f t="shared" si="4"/>
        <v>G23_PILOT_014</v>
      </c>
      <c r="U28" t="str">
        <f t="shared" si="5"/>
        <v>header  set_nozzle=0
set_gerr2=-0.246226692928559
set_gerr1=2.78236033148645
set_gerr0=-1.1247196750974
set_s1=-0.052
set_s2=1.1028
set_tr=300</v>
      </c>
      <c r="V28" t="str">
        <f t="shared" si="6"/>
        <v>header  set_bp0=-200.65324570912
set_bp1=391.072225053962
set_bp2=-249.656669785784
set_bp3=66.618164058088
set_bp4=-5.44524722511112
purge_time=120</v>
      </c>
      <c r="W28" t="str">
        <f t="shared" si="7"/>
        <v>header  set_nozzle=1
set_gerr2=-1.46951391763077
set_gerr1=18.2832991485617
set_gerr0=-2.80489398414312
set_s1=-0.052
set_s2=1.1028
set_tr=300
set_v1=0.4644
set_v2=3163.385657</v>
      </c>
    </row>
    <row r="29" spans="1:23">
      <c r="A29" t="s">
        <v>143</v>
      </c>
      <c r="B29">
        <v>-0.291021959</v>
      </c>
      <c r="C29">
        <v>3.0935521509999999</v>
      </c>
      <c r="D29">
        <v>-1.6192786379999999</v>
      </c>
      <c r="E29">
        <v>-2.9118254659999998</v>
      </c>
      <c r="F29">
        <v>28.503106469999999</v>
      </c>
      <c r="G29">
        <v>-24.480333359999999</v>
      </c>
      <c r="H29">
        <v>-5.1999999999999998E-2</v>
      </c>
      <c r="I29">
        <v>1.1028</v>
      </c>
      <c r="J29">
        <v>300</v>
      </c>
      <c r="K29">
        <v>-5.6000020749999999</v>
      </c>
      <c r="L29">
        <v>68.419887329999995</v>
      </c>
      <c r="M29">
        <v>-256.01488380000001</v>
      </c>
      <c r="N29">
        <v>398.4215926</v>
      </c>
      <c r="O29">
        <v>-203.74509889999999</v>
      </c>
      <c r="P29">
        <v>0.46439999999999998</v>
      </c>
      <c r="Q29">
        <v>3192.196242</v>
      </c>
      <c r="R29">
        <v>3192.196242</v>
      </c>
      <c r="T29" t="s">
        <v>143</v>
      </c>
      <c r="U29" t="str">
        <f t="shared" si="5"/>
        <v>header  set_nozzle=0
set_gerr2=-0.291021959
set_gerr1=3.093552151
set_gerr0=-1.619278638
set_s1=-0.052
set_s2=1.1028
set_tr=300</v>
      </c>
      <c r="V29" t="str">
        <f t="shared" si="6"/>
        <v>header  set_bp0=-203.7450989
set_bp1=398.4215926
set_bp2=-256.0148838
set_bp3=68.41988733
set_bp4=-5.600002075
purge_time=120</v>
      </c>
      <c r="W29" t="str">
        <f t="shared" si="7"/>
        <v>header  set_nozzle=1
set_gerr2=-2.911825466
set_gerr1=28.50310647
set_gerr0=-24.48033336
set_s1=-0.052
set_s2=1.1028
set_tr=300
set_v1=0.4644
set_v2=3192.196242</v>
      </c>
    </row>
    <row r="30" spans="1:23">
      <c r="A30" t="s">
        <v>144</v>
      </c>
      <c r="B30">
        <v>-0.27200844499999999</v>
      </c>
      <c r="C30">
        <v>2.9115501579999998</v>
      </c>
      <c r="D30">
        <v>-1.209397179</v>
      </c>
      <c r="E30">
        <v>-2.84429262</v>
      </c>
      <c r="F30">
        <v>27.396217650000001</v>
      </c>
      <c r="G30">
        <v>-22.015861109999999</v>
      </c>
      <c r="H30">
        <v>-5.1999999999999998E-2</v>
      </c>
      <c r="I30">
        <v>1.1028</v>
      </c>
      <c r="J30">
        <v>300</v>
      </c>
      <c r="K30">
        <v>-5.5558391809999996</v>
      </c>
      <c r="L30">
        <v>68.161330000000007</v>
      </c>
      <c r="M30">
        <v>-255.68524600000001</v>
      </c>
      <c r="N30">
        <v>399.52349099999998</v>
      </c>
      <c r="O30">
        <v>-205.37366119999999</v>
      </c>
      <c r="P30">
        <v>0.46439999999999998</v>
      </c>
      <c r="Q30">
        <v>3194.4289330000001</v>
      </c>
      <c r="R30">
        <v>3194.4289330000001</v>
      </c>
      <c r="T30" t="s">
        <v>144</v>
      </c>
      <c r="U30" t="str">
        <f t="shared" si="5"/>
        <v>header  set_nozzle=0
set_gerr2=-0.272008445
set_gerr1=2.911550158
set_gerr0=-1.209397179
set_s1=-0.052
set_s2=1.1028
set_tr=300</v>
      </c>
      <c r="V30" t="str">
        <f t="shared" si="6"/>
        <v>header  set_bp0=-205.3736612
set_bp1=399.523491
set_bp2=-255.685246
set_bp3=68.16133
set_bp4=-5.555839181
purge_time=120</v>
      </c>
      <c r="W30" t="str">
        <f t="shared" si="7"/>
        <v>header  set_nozzle=1
set_gerr2=-2.84429262
set_gerr1=27.39621765
set_gerr0=-22.01586111
set_s1=-0.052
set_s2=1.1028
set_tr=300
set_v1=0.4644
set_v2=3194.428933</v>
      </c>
    </row>
    <row r="31" spans="1:23">
      <c r="A31" t="s">
        <v>145</v>
      </c>
      <c r="B31">
        <v>-0.23686537799999999</v>
      </c>
      <c r="C31">
        <v>2.8275624590000001</v>
      </c>
      <c r="D31">
        <v>-1.0536687490000001</v>
      </c>
      <c r="E31">
        <v>-2.8468868660000002</v>
      </c>
      <c r="F31">
        <v>27.69521962</v>
      </c>
      <c r="G31">
        <v>-22.979847929999998</v>
      </c>
      <c r="H31">
        <v>-5.1999999999999998E-2</v>
      </c>
      <c r="I31">
        <v>1.1028</v>
      </c>
      <c r="J31">
        <v>300</v>
      </c>
      <c r="K31">
        <v>-5.5541579040000002</v>
      </c>
      <c r="L31">
        <v>68.100664899999998</v>
      </c>
      <c r="M31">
        <v>-255.06756039999999</v>
      </c>
      <c r="N31">
        <v>397.74557449999998</v>
      </c>
      <c r="O31">
        <v>-204.3110964</v>
      </c>
      <c r="P31">
        <v>0.46439999999999998</v>
      </c>
      <c r="Q31">
        <v>3194.3763410000001</v>
      </c>
      <c r="R31">
        <v>3194.3763410000001</v>
      </c>
      <c r="T31" t="s">
        <v>145</v>
      </c>
      <c r="U31" t="str">
        <f t="shared" si="5"/>
        <v>header  set_nozzle=0
set_gerr2=-0.236865378
set_gerr1=2.827562459
set_gerr0=-1.053668749
set_s1=-0.052
set_s2=1.1028
set_tr=300</v>
      </c>
      <c r="V31" t="str">
        <f t="shared" si="6"/>
        <v>header  set_bp0=-204.3110964
set_bp1=397.7455745
set_bp2=-255.0675604
set_bp3=68.1006649
set_bp4=-5.554157904
purge_time=120</v>
      </c>
      <c r="W31" t="str">
        <f t="shared" si="7"/>
        <v>header  set_nozzle=1
set_gerr2=-2.846886866
set_gerr1=27.69521962
set_gerr0=-22.97984793
set_s1=-0.052
set_s2=1.1028
set_tr=300
set_v1=0.4644
set_v2=3194.376341</v>
      </c>
    </row>
    <row r="34" spans="1:18" ht="15.75">
      <c r="E34" s="6"/>
      <c r="F34" s="6"/>
      <c r="G34" s="6"/>
      <c r="J34" s="6"/>
      <c r="K34" s="6"/>
      <c r="L34" s="6"/>
      <c r="M34" s="6"/>
      <c r="N34" s="6"/>
      <c r="O34" s="6"/>
      <c r="P34" s="6"/>
      <c r="Q34" s="6"/>
      <c r="R34" s="6"/>
    </row>
    <row r="37" spans="1:18" ht="15.75">
      <c r="A37" s="2"/>
      <c r="J37" s="6"/>
    </row>
    <row r="38" spans="1:18">
      <c r="A38" s="2"/>
    </row>
    <row r="39" spans="1:18">
      <c r="A39" s="2"/>
      <c r="G39" s="2"/>
    </row>
    <row r="42" spans="1:18" ht="15.75">
      <c r="G42" s="6"/>
    </row>
    <row r="44" spans="1:18" ht="99.75">
      <c r="A44" s="7" t="s">
        <v>99</v>
      </c>
      <c r="B44" s="7"/>
      <c r="C44" s="7"/>
      <c r="G44" s="7"/>
    </row>
  </sheetData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1"/>
  <sheetViews>
    <sheetView workbookViewId="0">
      <selection activeCell="C26" sqref="C26"/>
    </sheetView>
  </sheetViews>
  <sheetFormatPr defaultColWidth="9" defaultRowHeight="14.25"/>
  <cols>
    <col min="2" max="2" width="43.375" customWidth="1"/>
  </cols>
  <sheetData>
    <row r="1" spans="1:4">
      <c r="A1" t="s">
        <v>100</v>
      </c>
      <c r="B1" t="s">
        <v>75</v>
      </c>
      <c r="C1" t="s">
        <v>101</v>
      </c>
      <c r="D1" t="s">
        <v>102</v>
      </c>
    </row>
    <row r="2" spans="1:4">
      <c r="A2" t="s">
        <v>103</v>
      </c>
      <c r="B2" t="s">
        <v>104</v>
      </c>
      <c r="C2" t="s">
        <v>105</v>
      </c>
      <c r="D2" s="3">
        <v>45438</v>
      </c>
    </row>
    <row r="3" spans="1:4">
      <c r="A3" t="s">
        <v>106</v>
      </c>
      <c r="B3" t="s">
        <v>107</v>
      </c>
      <c r="C3" t="s">
        <v>105</v>
      </c>
      <c r="D3" s="3">
        <v>45438</v>
      </c>
    </row>
    <row r="4" spans="1:4">
      <c r="A4" t="s">
        <v>108</v>
      </c>
      <c r="B4" t="s">
        <v>109</v>
      </c>
    </row>
    <row r="5" spans="1:4">
      <c r="A5" t="s">
        <v>110</v>
      </c>
      <c r="B5" t="s">
        <v>111</v>
      </c>
      <c r="C5" t="s">
        <v>105</v>
      </c>
      <c r="D5" s="3">
        <v>45448</v>
      </c>
    </row>
    <row r="6" spans="1:4">
      <c r="A6" t="s">
        <v>112</v>
      </c>
      <c r="B6" t="s">
        <v>113</v>
      </c>
      <c r="C6" t="s">
        <v>105</v>
      </c>
      <c r="D6" s="3">
        <v>45470</v>
      </c>
    </row>
    <row r="7" spans="1:4">
      <c r="A7" t="s">
        <v>114</v>
      </c>
      <c r="B7" t="s">
        <v>115</v>
      </c>
      <c r="C7" t="s">
        <v>105</v>
      </c>
      <c r="D7" s="3">
        <v>45499</v>
      </c>
    </row>
    <row r="8" spans="1:4">
      <c r="A8" t="s">
        <v>116</v>
      </c>
      <c r="B8" t="s">
        <v>117</v>
      </c>
      <c r="C8" t="s">
        <v>105</v>
      </c>
      <c r="D8" s="3">
        <v>45512</v>
      </c>
    </row>
    <row r="9" spans="1:4">
      <c r="A9" t="s">
        <v>118</v>
      </c>
      <c r="B9" t="s">
        <v>119</v>
      </c>
      <c r="C9" t="s">
        <v>105</v>
      </c>
      <c r="D9" s="3">
        <v>45524</v>
      </c>
    </row>
    <row r="10" spans="1:4">
      <c r="A10" t="s">
        <v>120</v>
      </c>
      <c r="B10" t="s">
        <v>121</v>
      </c>
      <c r="C10" t="s">
        <v>105</v>
      </c>
      <c r="D10" s="3">
        <v>45592</v>
      </c>
    </row>
    <row r="11" spans="1:4">
      <c r="A11" t="s">
        <v>122</v>
      </c>
      <c r="B11" t="s">
        <v>123</v>
      </c>
      <c r="C11" t="s">
        <v>105</v>
      </c>
      <c r="D11" s="3">
        <v>45652</v>
      </c>
    </row>
    <row r="12" spans="1:4">
      <c r="A12" t="s">
        <v>124</v>
      </c>
      <c r="B12" t="s">
        <v>125</v>
      </c>
      <c r="C12" t="s">
        <v>126</v>
      </c>
      <c r="D12" s="3">
        <v>45667</v>
      </c>
    </row>
    <row r="13" spans="1:4">
      <c r="A13" t="s">
        <v>127</v>
      </c>
      <c r="B13" s="1" t="s">
        <v>128</v>
      </c>
      <c r="C13" t="s">
        <v>126</v>
      </c>
      <c r="D13" s="3">
        <v>45693</v>
      </c>
    </row>
    <row r="14" spans="1:4">
      <c r="A14" t="s">
        <v>129</v>
      </c>
      <c r="B14" s="1" t="s">
        <v>130</v>
      </c>
      <c r="C14" t="s">
        <v>105</v>
      </c>
      <c r="D14" s="3">
        <v>45708</v>
      </c>
    </row>
    <row r="15" spans="1:4">
      <c r="A15" t="s">
        <v>131</v>
      </c>
      <c r="B15" s="1" t="s">
        <v>132</v>
      </c>
      <c r="C15" t="s">
        <v>105</v>
      </c>
      <c r="D15" s="3">
        <v>45713</v>
      </c>
    </row>
    <row r="16" spans="1:4">
      <c r="A16" t="s">
        <v>133</v>
      </c>
      <c r="B16" s="1" t="s">
        <v>134</v>
      </c>
      <c r="C16" t="s">
        <v>105</v>
      </c>
      <c r="D16" s="3">
        <v>45769</v>
      </c>
    </row>
    <row r="17" spans="1:4">
      <c r="A17" t="s">
        <v>135</v>
      </c>
      <c r="B17" s="1" t="s">
        <v>136</v>
      </c>
      <c r="C17" t="s">
        <v>105</v>
      </c>
      <c r="D17" s="3">
        <v>45771</v>
      </c>
    </row>
    <row r="18" spans="1:4">
      <c r="A18" t="s">
        <v>137</v>
      </c>
      <c r="B18" s="1" t="s">
        <v>138</v>
      </c>
      <c r="C18" t="s">
        <v>105</v>
      </c>
      <c r="D18" s="3">
        <v>45776</v>
      </c>
    </row>
    <row r="19" spans="1:4">
      <c r="A19" t="s">
        <v>139</v>
      </c>
      <c r="B19" s="1" t="s">
        <v>140</v>
      </c>
      <c r="C19" t="s">
        <v>105</v>
      </c>
      <c r="D19" s="3">
        <v>45786</v>
      </c>
    </row>
    <row r="20" spans="1:4">
      <c r="A20" t="s">
        <v>141</v>
      </c>
      <c r="B20" t="s">
        <v>117</v>
      </c>
      <c r="C20" t="s">
        <v>105</v>
      </c>
      <c r="D20" s="3">
        <v>45791</v>
      </c>
    </row>
    <row r="21" spans="1:4">
      <c r="A21" t="s">
        <v>141</v>
      </c>
      <c r="B21" s="4" t="s">
        <v>142</v>
      </c>
      <c r="C21" s="4" t="s">
        <v>126</v>
      </c>
      <c r="D21" s="3">
        <v>45792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59"/>
  <sheetViews>
    <sheetView tabSelected="1" topLeftCell="A10" workbookViewId="0">
      <selection activeCell="D45" sqref="D45"/>
    </sheetView>
  </sheetViews>
  <sheetFormatPr defaultColWidth="8.625" defaultRowHeight="14.25"/>
  <cols>
    <col min="1" max="1" width="31.625" customWidth="1"/>
    <col min="2" max="2" width="38.375" customWidth="1"/>
    <col min="3" max="3" width="42.125" customWidth="1"/>
    <col min="4" max="4" width="168.75" customWidth="1"/>
  </cols>
  <sheetData>
    <row r="1" spans="1:2">
      <c r="A1" s="1" t="str">
        <f>气体参数!N2</f>
        <v>header set_gas=1
set_shr=1.667
set_mw=4.002
set_c1=1.115
set_c2=0.363025318922611
set_c3=0.487092169440701
set_a=1
set_b=0
set_c=0
set_d=0</v>
      </c>
      <c r="B1" t="s">
        <v>11</v>
      </c>
    </row>
    <row r="2" spans="1:2">
      <c r="A2" s="1" t="str">
        <f>气体参数!N3</f>
        <v>header set_gas=4
set_shr=1.667
set_mw=39.948
set_c1=1.269
set_c2=0.114902092344169
set_c3=0.487092169440701
set_a=1
set_b=0
set_c=0
set_d=0</v>
      </c>
      <c r="B2" t="s">
        <v>13</v>
      </c>
    </row>
    <row r="3" spans="1:2">
      <c r="A3" s="1" t="str">
        <f>气体参数!N4</f>
        <v>header set_gas=13
set_shr=1.4
set_mw=28
set_c1=1
set_c2=0.129402082031238
set_c3=0.528281787717174
set_a=1
set_b=0
set_c=0
set_d=0</v>
      </c>
      <c r="B3" t="s">
        <v>15</v>
      </c>
    </row>
    <row r="4" spans="1:2">
      <c r="A4" s="1" t="str">
        <f>气体参数!N5</f>
        <v>header set_gas=25
set_shr=1.289
set_mw=44.01
set_c1=0.8366
set_c2=0.100281321601283
set_c3=0.547723501628019
set_a=1
set_b=0
set_c=0
set_d=0</v>
      </c>
      <c r="B4" t="s">
        <v>17</v>
      </c>
    </row>
    <row r="5" spans="1:2">
      <c r="A5" s="1" t="str">
        <f>气体参数!N6</f>
        <v>header set_gas=110
set_shr=1.1
set_mw=146
set_c1=0.853
set_c2=0.0520034641302041
set_c3=0.584679289086437
set_a=1
set_b=0
set_c=0
set_d=0</v>
      </c>
      <c r="B5" t="s">
        <v>19</v>
      </c>
    </row>
    <row r="6" spans="1:2">
      <c r="A6" s="1" t="str">
        <f>气体参数!N7</f>
        <v>header set_gas=108
set_shr=1.1
set_mw=169.9
set_c1=0.98
set_c2=0.0482072117274695
set_c3=0.584679289086437
set_a=4.0032
set_b=1149.8
set_c=-43.04
set_d=20</v>
      </c>
      <c r="B6" t="s">
        <v>21</v>
      </c>
    </row>
    <row r="7" spans="1:2">
      <c r="A7" s="1" t="str">
        <f>气体参数!N8</f>
        <v>header set_gas=15
set_shr=1.4
set_mw=32
set_c1=1.15
set_c2=0.121044564024027
set_c3=0.528281787717174
set_a=1
set_b=0
set_c=0
set_d=0</v>
      </c>
      <c r="B7" t="s">
        <v>23</v>
      </c>
    </row>
    <row r="8" spans="1:2">
      <c r="A8" s="1" t="str">
        <f>气体参数!N9</f>
        <v>header set_gas=297
set_shr=1.06
set_mw=162
set_c1=0.853
set_c2=0.0486993391548769
set_c3=0.59321077406382
set_a=0.06
set_b=0
set_c=0
set_d=0</v>
      </c>
      <c r="B8" t="s">
        <v>25</v>
      </c>
    </row>
    <row r="9" spans="1:2">
      <c r="A9" s="1" t="str">
        <f>气体参数!N10</f>
        <v>header set_gas=28
set_shr=1.32
set_mw=16
set_c1=0.58
set_c2=0.167713013820073
set_c3=0.542139179851747
set_a=1
set_b=0
set_c=0
set_d=0</v>
      </c>
      <c r="B9" t="s">
        <v>27</v>
      </c>
    </row>
    <row r="10" spans="1:2">
      <c r="A10" s="1" t="str">
        <f>气体参数!N11</f>
        <v>header set_gas=34
set_shr=1.25
set_mw=60
set_c1=0.69
set_c2=0.0849557993059992
set_c3=0.554928957306643
set_a=1
set_b=0
set_c=0
set_d=0</v>
      </c>
      <c r="B10" t="s">
        <v>29</v>
      </c>
    </row>
    <row r="11" spans="1:2">
      <c r="A11" s="1" t="str">
        <f>气体参数!N12</f>
        <v>header set_gas=19
set_shr=1.33
set_mw=71
set_c1=0.768
set_c2=0.0798263056832846
set_c3=0.54036401763595
set_a=1
set_b=0
set_c=0
set_d=0</v>
      </c>
      <c r="B11" t="s">
        <v>31</v>
      </c>
    </row>
    <row r="12" spans="1:2">
      <c r="A12" s="1" t="str">
        <f>气体参数!N13</f>
        <v>header set_gas=160
set_shr=1.24
set_mw=52
set_c1=0.81
set_c2=0.090996578908725
set_c3=0.556809816030138
set_a=4.262
set_b=821.09
set_c=-28.55
set_d=0</v>
      </c>
      <c r="B12" t="s">
        <v>33</v>
      </c>
    </row>
    <row r="13" spans="1:2">
      <c r="A13" s="1" t="str">
        <f>气体参数!N14</f>
        <v>header set_gas=49
set_shr=1.19
set_mw=70
set_c1=0.82
set_c2=0.0772813444103121
set_c3=0.566425958602578
set_a=1
set_b=0
set_c=0
set_d=0</v>
      </c>
      <c r="B13" t="s">
        <v>34</v>
      </c>
    </row>
    <row r="14" spans="1:2">
      <c r="A14" s="1" t="str">
        <f>气体参数!N15</f>
        <v>header set_gas=10
set_shr=1.38
set_mw=81
set_c1=1.07
set_c2=0.0757034653508419
set_c3=0.531673782783774
set_a=4.15
set_b=754.97
set_c=-25.086
set_d=0</v>
      </c>
      <c r="B14" t="s">
        <v>35</v>
      </c>
    </row>
    <row r="15" spans="1:2">
      <c r="A15" s="1" t="str">
        <f>气体参数!N16</f>
        <v>header set_gas=63
set_shr=1.18
set_mw=88
set_c1=1.01
set_c2=0.0687165631285626
set_c3=0.568392728733342
set_a=1
set_b=0
set_c=0
set_d=0</v>
      </c>
      <c r="B15" t="s">
        <v>36</v>
      </c>
    </row>
    <row r="16" spans="1:2">
      <c r="A16" s="1" t="str">
        <f>气体参数!N17</f>
        <v>header set_gas=53
set_shr=1.18
set_mw=71
set_c1=0.97
set_c2=0.0765021413896878
set_c3=0.568392728733342
set_a=1
set_b=0
set_c=0
set_d=0</v>
      </c>
      <c r="B16" t="s">
        <v>37</v>
      </c>
    </row>
    <row r="17" spans="1:4">
      <c r="A17" s="1" t="str">
        <f>气体参数!N18</f>
        <v>header set_gas=33
set_shr=1.28
set_mw=34
set_c1=0.67
set_c2=0.113810279189924
set_c3=0.549368225211583
set_a=1
set_b=0
set_c=0
set_d=0</v>
      </c>
      <c r="B17" t="s">
        <v>38</v>
      </c>
    </row>
    <row r="18" spans="1:4">
      <c r="A18" s="1" t="str">
        <f>气体参数!N19</f>
        <v>header set_gas=129
set_shr=1.05
set_mw=200
set_c1=0.58
set_c2=0.0436757539973
set_c3=0.595386285715933
set_a=4.254
set_b=1007.4
set_c=-30.205
set_d=0</v>
      </c>
      <c r="B18" t="s">
        <v>39</v>
      </c>
    </row>
    <row r="19" spans="1:4">
      <c r="A19" s="1" t="str">
        <f>气体参数!N20</f>
        <v>header set_gas=70
set_shr=1.15
set_mw=117.16
set_c1=0.62
set_c2=0.059058
set_c3=0.573778
set_a=3.95145
set_b=973.995
set_c=-38.994
set_d=0</v>
      </c>
      <c r="B19" t="s">
        <v>40</v>
      </c>
    </row>
    <row r="20" spans="1:4">
      <c r="A20" s="1" t="str">
        <f>气体参数!N21</f>
        <v>header set_gas=39
set_shr=1.269
set_mw=32
set_c1=0.624
set_c2=0.116955155368212
set_c3=0.55139306326529
set_a=1
set_b=0
set_c=0
set_d=0</v>
      </c>
      <c r="B20" t="s">
        <v>41</v>
      </c>
    </row>
    <row r="21" spans="1:4">
      <c r="A21" s="1" t="str">
        <f>气体参数!N22</f>
        <v>header set_gas=7
set_shr=1.41
set_mw=2
set_c1=0.5
set_c2=0.485368572376218
set_c3=0.526603292799095
set_a=1
set_b=0
set_c=0
set_d=0</v>
      </c>
    </row>
    <row r="27" spans="1:4">
      <c r="A27" s="1" t="str">
        <f>喷嘴参数!A14</f>
        <v>G23_PILOT_001</v>
      </c>
      <c r="B27" t="str">
        <f>喷嘴参数!U14</f>
        <v>header  set_nozzle=0
set_gerr2=-0.338132
set_gerr1=2.814077
set_gerr0=-1.645232
set_s1=-0.052
set_s2=1.1028
set_tr=300</v>
      </c>
      <c r="C27" t="str">
        <f>喷嘴参数!V14</f>
        <v>header  set_bp0=-455.638944554371
set_bp1=698.404586493478
set_bp2=-375.138679029412
set_bp3=87.1886224363897
set_bp4=-6.73965548858953
purge_time=120</v>
      </c>
      <c r="D27" t="str">
        <f>喷嘴参数!W14</f>
        <v>header  set_nozzle=1
set_gerr2=-2.05063
set_gerr1=22.54856
set_gerr0=-10.3344
set_s1=-0.052
set_s2=1.1028
set_tr=300
set_v1=0.4644
set_v2=3195.55241</v>
      </c>
    </row>
    <row r="28" spans="1:4">
      <c r="A28" s="1" t="str">
        <f>喷嘴参数!A15</f>
        <v>工程样机</v>
      </c>
      <c r="B28" t="str">
        <f>喷嘴参数!U15</f>
        <v>header  set_nozzle=0
set_gerr2=-0.130901
set_gerr1=1.543311
set_gerr0=-0.775613
set_s1=-0.052
set_s2=1.1028
set_tr=300</v>
      </c>
      <c r="C28" t="str">
        <f>喷嘴参数!V15</f>
        <v>header  set_bp0=-592.33
set_bp1=907.93
set_bp2=-487.68
set_bp3=113.34
set_bp4=-8.7615
purge_time=120</v>
      </c>
      <c r="D28" t="str">
        <f>喷嘴参数!W15</f>
        <v>header  set_nozzle=1
set_gerr2=-1.80877
set_gerr1=20.54181
set_gerr0=-9.74048
set_s1=-0.052
set_s2=1.1028
set_tr=300
set_v1=0.4644
set_v2=3195</v>
      </c>
    </row>
    <row r="29" spans="1:4">
      <c r="A29" s="1" t="str">
        <f>喷嘴参数!A16</f>
        <v>G23_PILOT_002</v>
      </c>
      <c r="B29" t="str">
        <f>喷嘴参数!U16</f>
        <v>header  set_nozzle=0
set_gerr2=-0.1854216250807
set_gerr1=1.9169680267538
set_gerr0=-1.40999305747901
set_s1=-0.052
set_s2=1.1028
set_tr=300</v>
      </c>
      <c r="C29" t="str">
        <f>喷嘴参数!V16</f>
        <v>header  set_bp0=-1080.90411587727
set_bp1=1478.81013841609
set_bp2=-725.114797601548
set_bp3=154.407451582234
set_bp4=-11.2516489823773
purge_time=120</v>
      </c>
      <c r="D29" t="str">
        <f>喷嘴参数!W16</f>
        <v>header  set_nozzle=1
set_gerr2=-4.56576101906463
set_gerr1=44.3044554485287
set_gerr0=-57.4360388120656
set_s1=-0.052
set_s2=1.1028
set_tr=300
set_v1=0.4644
set_v2=3178</v>
      </c>
    </row>
    <row r="30" spans="1:4">
      <c r="A30" s="1" t="str">
        <f>喷嘴参数!A17</f>
        <v>G23_PILOT_003</v>
      </c>
      <c r="B30" t="str">
        <f>喷嘴参数!U17</f>
        <v>header  set_nozzle=0
set_gerr2=-0.480905948551373
set_gerr1=4.65347670238517
set_gerr0=-1.49310550768043
set_s1=-0.052
set_s2=1.1028
set_tr=300</v>
      </c>
      <c r="C30" t="str">
        <f>喷嘴参数!V17</f>
        <v>header  set_bp0=-1453.5292052402
set_bp1=1947.96456055809
set_bp2=-938.625579471547
set_bp3=195.661233100399
set_bp4=-14.1061830111192
purge_time=120</v>
      </c>
      <c r="D30" t="str">
        <f>喷嘴参数!W17</f>
        <v>header  set_nozzle=1
set_gerr2=-4.32904258610302
set_gerr1=42.0707378762887
set_gerr0=-51.5518589303579
set_s1=-0.052
set_s2=1.1028
set_tr=300
set_v1=0.4644
set_v2=3189</v>
      </c>
    </row>
    <row r="31" spans="1:4">
      <c r="A31" s="1" t="str">
        <f>喷嘴参数!A18</f>
        <v>G23_PILOT_001_改喷嘴</v>
      </c>
      <c r="B31" t="str">
        <f>喷嘴参数!U18</f>
        <v>header  set_nozzle=0
set_gerr2=-0.619384839581601
set_gerr1=6.00346336710397
set_gerr0=-2.33307265026052
set_s1=-0.052
set_s2=1.1028
set_tr=300</v>
      </c>
      <c r="C31" t="str">
        <f>喷嘴参数!V18</f>
        <v>header  set_bp0=-208.778662860889
set_bp1=409.729450057385
set_bp2=-259.41613826665
set_bp3=68.6443991098254
set_bp4=-5.51095019188687
purge_time=120</v>
      </c>
      <c r="D31" t="str">
        <f>喷嘴参数!W18</f>
        <v>header  set_nozzle=1
set_gerr2=-2.05063
set_gerr1=22.54856
set_gerr0=-10.3344
set_s1=-0.052
set_s2=1.1028
set_tr=300
set_v1=0.4644
set_v2=3195</v>
      </c>
    </row>
    <row r="32" spans="1:4">
      <c r="A32" s="1" t="str">
        <f>喷嘴参数!A19</f>
        <v>G23_PILOT_002_改喷嘴</v>
      </c>
      <c r="B32" t="str">
        <f>喷嘴参数!U19</f>
        <v>header  set_nozzle=0
set_gerr2=-0.328626755835232
set_gerr1=3.31414433748488
set_gerr0=-0.832538239980768
set_s1=-0.052
set_s2=1.1028
set_tr=300</v>
      </c>
      <c r="C32" t="str">
        <f>喷嘴参数!V19</f>
        <v>header  set_bp0=-174.12568249368
set_bp1=353.78002402822
set_bp2=-231.015593518699
set_bp3=63.126969122864
set_bp4=-5.17910969622423
purge_time=120</v>
      </c>
      <c r="D32" t="str">
        <f>喷嘴参数!W19</f>
        <v>header  set_nozzle=1
set_gerr2=-4.56576101906463
set_gerr1=44.3044554485287
set_gerr0=-57.4360388120656
set_s1=-0.052
set_s2=1.1028
set_tr=300
set_v1=0.4644
set_v2=3178</v>
      </c>
    </row>
    <row r="33" spans="1:4">
      <c r="A33" s="1" t="str">
        <f>喷嘴参数!A20</f>
        <v>G23_PILOT_004</v>
      </c>
      <c r="B33" t="str">
        <f>喷嘴参数!U20</f>
        <v>header  set_nozzle=0
set_gerr2=-0.394323788988331
set_gerr1=3.76040659928571
set_gerr0=-1.56521407002074
set_s1=-0.052
set_s2=1.1028
set_tr=300</v>
      </c>
      <c r="C33" t="str">
        <f>喷嘴参数!V20</f>
        <v>header  set_bp0=-182.363556503213
set_bp1=360.830904566161
set_bp2=-231.519626114067
set_bp3=61.8417356214756
set_bp4=-4.99454374301303
purge_time=120</v>
      </c>
      <c r="D33" t="str">
        <f>喷嘴参数!W20</f>
        <v>header  set_nozzle=1
set_gerr2=-4.44863451897649
set_gerr1=43.1960207017044
set_gerr0=-53.9063435518526
set_s1=-0.052
set_s2=1.1028
set_tr=300
set_v1=0.4644
set_v2=3153.720168</v>
      </c>
    </row>
    <row r="34" spans="1:4">
      <c r="A34" s="1" t="str">
        <f>喷嘴参数!A21</f>
        <v>G23_PILOT_006</v>
      </c>
      <c r="B34" t="str">
        <f>喷嘴参数!U21</f>
        <v>header  set_nozzle=0
set_gerr2=-0.304156608089993
set_gerr1=3.37550362050009
set_gerr0=-1.41381991991565
set_s1=-0.052
set_s2=1.1028
set_tr=300</v>
      </c>
      <c r="C34" t="str">
        <f>喷嘴参数!V21</f>
        <v>header  set_bp0=-185.68923944104
set_bp1=368.0917493855
set_bp2=-236.951963487812
set_bp3=63.5675500144208
set_bp4=-5.17598489451577
purge_time=120</v>
      </c>
      <c r="D34" t="str">
        <f>喷嘴参数!W21</f>
        <v>header  set_nozzle=1
set_gerr2=-2.6703658876088
set_gerr1=27.2516946445483
set_gerr0=-19.7944081455669
set_s1=-0.052
set_s2=1.1028
set_tr=300
set_v1=0.4644
set_v2=3193.5</v>
      </c>
    </row>
    <row r="35" spans="1:4">
      <c r="A35" s="1" t="str">
        <f>喷嘴参数!A22</f>
        <v>G23_PILOT_008</v>
      </c>
      <c r="B35" t="str">
        <f>喷嘴参数!U22</f>
        <v>header  set_nozzle=0
set_gerr2=-0.240139283537276
set_gerr1=2.9093504149719
set_gerr0=-0.517189135924653
set_s1=-0.052
set_s2=1.1028
set_tr=300</v>
      </c>
      <c r="C35" t="str">
        <f>喷嘴参数!V22</f>
        <v>header  set_bp0=-186.177106780405
set_bp1=368.495099595798
set_bp2=-237.580612005222
set_bp3=63.8438030364117
set_bp4=-5.21239892175003
purge_time=120</v>
      </c>
      <c r="D35" t="str">
        <f>喷嘴参数!W22</f>
        <v>header  set_nozzle=1
set_gerr2=-2.4487720018934
set_gerr1=25.3110623290802
set_gerr0=-15.9227067368693
set_s1=-0.052
set_s2=1.1028
set_tr=300
set_v1=0.4644
set_v2=3177.6</v>
      </c>
    </row>
    <row r="36" spans="1:4">
      <c r="A36" s="1" t="str">
        <f>喷嘴参数!A23</f>
        <v>G23_PILOT_009</v>
      </c>
      <c r="B36" t="str">
        <f>喷嘴参数!U23</f>
        <v>header  set_nozzle=0
set_gerr2=-0.162104973520345
set_gerr1=2.49307782009197
set_gerr0=-0.182867541789473
set_s1=-0.052
set_s2=1.1028
set_tr=300</v>
      </c>
      <c r="C36" t="str">
        <f>喷嘴参数!V23</f>
        <v>header  set_bp0=-185.197701170346
set_bp1=369.927254766791
set_bp2=-238.311866257382
set_bp3=64.0085842919671
set_bp4=-5.21271572699199
purge_time=120</v>
      </c>
      <c r="D36" t="str">
        <f>喷嘴参数!W23</f>
        <v>header  set_nozzle=1
set_gerr2=-2.61760908724672
set_gerr1=26.5241027627527
set_gerr0=-18.4374576310026
set_s1=-0.052
set_s2=1.1028
set_tr=300
set_v1=0.4644
set_v2=3182.742975</v>
      </c>
    </row>
    <row r="37" spans="1:4">
      <c r="A37" s="1" t="str">
        <f>喷嘴参数!A24</f>
        <v>G23_PILOT_010</v>
      </c>
      <c r="B37" t="str">
        <f>喷嘴参数!U24</f>
        <v>header  set_nozzle=0
set_gerr2=-0.268030593011387
set_gerr1=2.91739685247398
set_gerr0=-1.16602991413393
set_s1=-0.052
set_s2=1.1028
set_tr=300</v>
      </c>
      <c r="C37" t="str">
        <f>喷嘴参数!V24</f>
        <v>header  set_bp0=-196.269731305022
set_bp1=384.936934330236
set_bp2=-246.841263466256
set_bp3=66.1134699426362
set_bp4=-5.41176897407699
purge_time=120</v>
      </c>
      <c r="D37" t="str">
        <f>喷嘴参数!W24</f>
        <v>header  set_nozzle=1
set_gerr2=-2.9231487202459
set_gerr1=27.6312327357239
set_gerr0=-21.4508856025123
set_s1=-0.052
set_s2=1.1028
set_tr=300
set_v1=0.4644
set_v2=3180.118</v>
      </c>
    </row>
    <row r="38" spans="1:4">
      <c r="A38" s="1" t="str">
        <f>喷嘴参数!A25</f>
        <v>G23_PILOT_011</v>
      </c>
      <c r="B38" t="str">
        <f>喷嘴参数!U25</f>
        <v>header  set_nozzle=0
set_gerr2=-0.237658341020965
set_gerr1=2.72638366442019
set_gerr0=-1.05277197434582
set_s1=-0.052
set_s2=1.1028
set_tr=300</v>
      </c>
      <c r="C38" t="str">
        <f>喷嘴参数!V25</f>
        <v>header  set_bp0=-201.034391832692
set_bp1=393.245156165665
set_bp2=-251.967610780777
set_bp3=67.4117037523037
set_bp4=-5.52762785187605
purge_time=120</v>
      </c>
      <c r="D38" t="str">
        <f>喷嘴参数!W25</f>
        <v>header  set_nozzle=1
set_gerr2=-2.82103391696239
set_gerr1=26.9965317353026
set_gerr0=-20.8261620315637
set_s1=-0.052
set_s2=1.1028
set_tr=300
set_v1=0.4644
set_v2=3186.617</v>
      </c>
    </row>
    <row r="39" spans="1:4">
      <c r="A39" s="1" t="str">
        <f>喷嘴参数!A26</f>
        <v>G23_PILOT_012</v>
      </c>
      <c r="B39" t="str">
        <f>喷嘴参数!U26</f>
        <v>header  set_nozzle=0
set_gerr2=-0.25096937378252
set_gerr1=2.84120083528348
set_gerr0=-1.14682154899529
set_s1=-0.052
set_s2=1.1028
set_tr=300</v>
      </c>
      <c r="C39" t="str">
        <f>喷嘴参数!V26</f>
        <v>header  set_bp0=-202.2943636
set_bp1=394.1804167
set_bp2=-251.7549265
set_bp3=67.19969739
set_bp4=-5.492101649
purge_time=120</v>
      </c>
      <c r="D39" t="str">
        <f>喷嘴参数!W26</f>
        <v>header  set_nozzle=1
set_gerr2=-3.10603448253075
set_gerr1=29.5319601805491
set_gerr0=-26.1875324193122
set_s1=-0.052
set_s2=1.1028
set_tr=300
set_v1=0.4644
set_v2=3161.851326</v>
      </c>
    </row>
    <row r="40" spans="1:4">
      <c r="A40" s="1" t="str">
        <f>喷嘴参数!A27</f>
        <v>G23_PILOT_013</v>
      </c>
      <c r="B40" t="str">
        <f>喷嘴参数!U27</f>
        <v>header  set_nozzle=0
set_gerr2=-0.267886103271512
set_gerr1=2.90421164360868
set_gerr0=-1.18401868982234
set_s1=-0.052
set_s2=1.1028
set_tr=300</v>
      </c>
      <c r="C40" t="str">
        <f>喷嘴参数!V27</f>
        <v>header  set_bp0=-198.125512343751
set_bp1=387.479004693136
set_bp2=-248.178766475656
set_bp3=66.4175957451387
set_bp4=-5.42933995466606
purge_time=120</v>
      </c>
      <c r="D40" t="str">
        <f>喷嘴参数!W27</f>
        <v>header  set_nozzle=1
set_gerr2=-2.91235379342406
set_gerr1=27.3867386576567
set_gerr0=-20.9552558960522
set_s1=-0.052
set_s2=1.1028
set_tr=300
set_v1=0.4644
set_v2=3181.185</v>
      </c>
    </row>
    <row r="41" spans="1:4">
      <c r="A41" s="1" t="str">
        <f>喷嘴参数!A28</f>
        <v>G23_PILOT_014</v>
      </c>
      <c r="B41" t="str">
        <f>喷嘴参数!U28</f>
        <v>header  set_nozzle=0
set_gerr2=-0.246226692928559
set_gerr1=2.78236033148645
set_gerr0=-1.1247196750974
set_s1=-0.052
set_s2=1.1028
set_tr=300</v>
      </c>
      <c r="C41" t="str">
        <f>喷嘴参数!V28</f>
        <v>header  set_bp0=-200.65324570912
set_bp1=391.072225053962
set_bp2=-249.656669785784
set_bp3=66.618164058088
set_bp4=-5.44524722511112
purge_time=120</v>
      </c>
      <c r="D41" t="str">
        <f>喷嘴参数!W28</f>
        <v>header  set_nozzle=1
set_gerr2=-1.46951391763077
set_gerr1=18.2832991485617
set_gerr0=-2.80489398414312
set_s1=-0.052
set_s2=1.1028
set_tr=300
set_v1=0.4644
set_v2=3163.385657</v>
      </c>
    </row>
    <row r="42" spans="1:4">
      <c r="A42" s="1" t="str">
        <f>喷嘴参数!A29</f>
        <v>G23_PILOT_015</v>
      </c>
      <c r="B42" t="str">
        <f>喷嘴参数!U29</f>
        <v>header  set_nozzle=0
set_gerr2=-0.291021959
set_gerr1=3.093552151
set_gerr0=-1.619278638
set_s1=-0.052
set_s2=1.1028
set_tr=300</v>
      </c>
      <c r="C42" t="str">
        <f>喷嘴参数!V29</f>
        <v>header  set_bp0=-203.7450989
set_bp1=398.4215926
set_bp2=-256.0148838
set_bp3=68.41988733
set_bp4=-5.600002075
purge_time=120</v>
      </c>
      <c r="D42" t="str">
        <f>喷嘴参数!W29</f>
        <v>header  set_nozzle=1
set_gerr2=-2.911825466
set_gerr1=28.50310647
set_gerr0=-24.48033336
set_s1=-0.052
set_s2=1.1028
set_tr=300
set_v1=0.4644
set_v2=3192.196242</v>
      </c>
    </row>
    <row r="43" spans="1:4">
      <c r="A43" s="1" t="str">
        <f>喷嘴参数!A30</f>
        <v>G23_PILOT_016</v>
      </c>
      <c r="B43" t="str">
        <f>喷嘴参数!U30</f>
        <v>header  set_nozzle=0
set_gerr2=-0.272008445
set_gerr1=2.911550158
set_gerr0=-1.209397179
set_s1=-0.052
set_s2=1.1028
set_tr=300</v>
      </c>
      <c r="C43" t="str">
        <f>喷嘴参数!V30</f>
        <v>header  set_bp0=-205.3736612
set_bp1=399.523491
set_bp2=-255.685246
set_bp3=68.16133
set_bp4=-5.555839181
purge_time=120</v>
      </c>
      <c r="D43" t="str">
        <f>喷嘴参数!W30</f>
        <v>header  set_nozzle=1
set_gerr2=-2.84429262
set_gerr1=27.39621765
set_gerr0=-22.01586111
set_s1=-0.052
set_s2=1.1028
set_tr=300
set_v1=0.4644
set_v2=3194.428933</v>
      </c>
    </row>
    <row r="44" spans="1:4">
      <c r="A44" s="1" t="str">
        <f>喷嘴参数!A31</f>
        <v>G23_PILOT_017</v>
      </c>
      <c r="B44" t="str">
        <f>喷嘴参数!U31</f>
        <v>header  set_nozzle=0
set_gerr2=-0.236865378
set_gerr1=2.827562459
set_gerr0=-1.053668749
set_s1=-0.052
set_s2=1.1028
set_tr=300</v>
      </c>
      <c r="C44" t="str">
        <f>喷嘴参数!V31</f>
        <v>header  set_bp0=-204.3110964
set_bp1=397.7455745
set_bp2=-255.0675604
set_bp3=68.1006649
set_bp4=-5.554157904
purge_time=120</v>
      </c>
      <c r="D44" t="str">
        <f>喷嘴参数!W31</f>
        <v>header  set_nozzle=1
set_gerr2=-2.846886866
set_gerr1=27.69521962
set_gerr0=-22.97984793
set_s1=-0.052
set_s2=1.1028
set_tr=300
set_v1=0.4644
set_v2=3194.376341</v>
      </c>
    </row>
    <row r="46" spans="1:4">
      <c r="A46" s="2"/>
    </row>
    <row r="47" spans="1:4">
      <c r="A47" s="2"/>
    </row>
    <row r="48" spans="1:4">
      <c r="A48" s="2"/>
    </row>
    <row r="57" spans="1:1">
      <c r="A57" s="2"/>
    </row>
    <row r="58" spans="1:1">
      <c r="A58" s="2"/>
    </row>
    <row r="59" spans="1:1">
      <c r="A59" s="2"/>
    </row>
  </sheetData>
  <phoneticPr fontId="5" type="noConversion"/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气体参数</vt:lpstr>
      <vt:lpstr>喷嘴参数</vt:lpstr>
      <vt:lpstr>版本控制</vt:lpstr>
      <vt:lpstr>cmd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karl li</dc:creator>
  <cp:lastModifiedBy>GH0050</cp:lastModifiedBy>
  <dcterms:created xsi:type="dcterms:W3CDTF">2015-06-05T18:17:00Z</dcterms:created>
  <dcterms:modified xsi:type="dcterms:W3CDTF">2025-06-10T07:53:05Z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B7D282666AF247F788375C1D5978ED87_12</vt:lpwstr>
  </property>
  <property fmtid="{D5CDD505-2E9C-101B-9397-08002B2CF9AE}" pid="3" name="KSOProductBuildVer">
    <vt:lpwstr>2052-12.1.0.16364</vt:lpwstr>
  </property>
</Properties>
</file>