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945" windowHeight="12375" activeTab="1"/>
  </bookViews>
  <sheets>
    <sheet name="气体参数" sheetId="1" r:id="rId1"/>
    <sheet name="喷嘴参数" sheetId="3" r:id="rId2"/>
    <sheet name="版本控制" sheetId="2" r:id="rId3"/>
    <sheet name="cmd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<sst xmlns="http://schemas.openxmlformats.org/spreadsheetml/2006/main" count="236" uniqueCount="188">
  <si>
    <t>GAS ID</t>
  </si>
  <si>
    <t>GAS NAME</t>
  </si>
  <si>
    <t>SHR</t>
  </si>
  <si>
    <t>MW</t>
  </si>
  <si>
    <t>COEFF1</t>
  </si>
  <si>
    <t>COEFF2</t>
  </si>
  <si>
    <t>alpha</t>
  </si>
  <si>
    <t>a</t>
  </si>
  <si>
    <t>b</t>
  </si>
  <si>
    <t>c</t>
  </si>
  <si>
    <t>d</t>
  </si>
  <si>
    <t>HE</t>
  </si>
  <si>
    <t>set_gas=</t>
  </si>
  <si>
    <t>AR</t>
  </si>
  <si>
    <t>set_shr=</t>
  </si>
  <si>
    <t>N2</t>
  </si>
  <si>
    <t>set_mw=</t>
  </si>
  <si>
    <t>CO2</t>
  </si>
  <si>
    <t>set_c1=</t>
  </si>
  <si>
    <t>SF6</t>
  </si>
  <si>
    <t>set_c2=</t>
  </si>
  <si>
    <t>sicl4</t>
  </si>
  <si>
    <t>set_c3=</t>
  </si>
  <si>
    <t>O2</t>
  </si>
  <si>
    <t>set_a=</t>
  </si>
  <si>
    <t>c4f6</t>
  </si>
  <si>
    <t>set_b=</t>
  </si>
  <si>
    <t>ch4</t>
  </si>
  <si>
    <t>set_c=</t>
  </si>
  <si>
    <t>cos</t>
  </si>
  <si>
    <t>set_d=</t>
  </si>
  <si>
    <t>cl2</t>
  </si>
  <si>
    <t xml:space="preserve">header </t>
  </si>
  <si>
    <t>ch2f2</t>
  </si>
  <si>
    <t>chf3</t>
  </si>
  <si>
    <t>hbr</t>
  </si>
  <si>
    <t>cf4</t>
  </si>
  <si>
    <t>nf3</t>
  </si>
  <si>
    <t>ch3f</t>
  </si>
  <si>
    <t>c4f8</t>
  </si>
  <si>
    <t>bcl3</t>
  </si>
  <si>
    <t>sih4</t>
  </si>
  <si>
    <t>H2</t>
  </si>
  <si>
    <t>Xe</t>
  </si>
  <si>
    <t>CO</t>
  </si>
  <si>
    <t>HCl</t>
  </si>
  <si>
    <t>HF</t>
  </si>
  <si>
    <t>F2</t>
  </si>
  <si>
    <t>NO2</t>
  </si>
  <si>
    <t>N2O</t>
  </si>
  <si>
    <t>NH3</t>
  </si>
  <si>
    <t xml:space="preserve">
</t>
  </si>
  <si>
    <t>O3</t>
  </si>
  <si>
    <t>PH3</t>
  </si>
  <si>
    <t>C2H4</t>
  </si>
  <si>
    <t>C2H2</t>
  </si>
  <si>
    <t>BF3</t>
  </si>
  <si>
    <t>B2H6</t>
  </si>
  <si>
    <t>C3H6</t>
  </si>
  <si>
    <t>SiH2Cl2</t>
  </si>
  <si>
    <t>C3H8</t>
  </si>
  <si>
    <t>SO2</t>
  </si>
  <si>
    <t>set_nozzle=0</t>
  </si>
  <si>
    <t>set_bp0=</t>
  </si>
  <si>
    <t>set_v1=</t>
  </si>
  <si>
    <t>set_gerr2=</t>
  </si>
  <si>
    <t>set_bp1=</t>
  </si>
  <si>
    <t>set_v2=</t>
  </si>
  <si>
    <t>set_gerr1=</t>
  </si>
  <si>
    <t>set_bp2=</t>
  </si>
  <si>
    <t>set_gerr0=</t>
  </si>
  <si>
    <t>set_bp3=</t>
  </si>
  <si>
    <t>set_s1=</t>
  </si>
  <si>
    <t>set_bp4=</t>
  </si>
  <si>
    <t>set_s2=</t>
  </si>
  <si>
    <t xml:space="preserve">header  </t>
  </si>
  <si>
    <t>set_tr=</t>
  </si>
  <si>
    <t>purge_time=120</t>
  </si>
  <si>
    <t>set_nozzle=1</t>
  </si>
  <si>
    <t>Serial Number</t>
  </si>
  <si>
    <t>0.2mm</t>
  </si>
  <si>
    <t>0.75mm</t>
  </si>
  <si>
    <t>S1</t>
  </si>
  <si>
    <t>S2</t>
  </si>
  <si>
    <t>Tr</t>
  </si>
  <si>
    <t>BP4</t>
  </si>
  <si>
    <t>BP3</t>
  </si>
  <si>
    <t>BP2</t>
  </si>
  <si>
    <t>BP1</t>
  </si>
  <si>
    <t>BP0</t>
  </si>
  <si>
    <t>体积V1</t>
  </si>
  <si>
    <t>原始体积V2</t>
  </si>
  <si>
    <t>修正后V2</t>
  </si>
  <si>
    <t>说明</t>
  </si>
  <si>
    <t>num</t>
  </si>
  <si>
    <t>nozzle0</t>
  </si>
  <si>
    <t>bp</t>
  </si>
  <si>
    <t>nozzle 1</t>
  </si>
  <si>
    <t>Gerr2</t>
  </si>
  <si>
    <t>Gerr1</t>
  </si>
  <si>
    <t>Gerr0</t>
  </si>
  <si>
    <t>G23_PILOT_001</t>
  </si>
  <si>
    <t>工程样机</t>
  </si>
  <si>
    <t>G23_PILOT_002</t>
  </si>
  <si>
    <t>2025/01/09更新</t>
  </si>
  <si>
    <t>G23_PILOT_003</t>
  </si>
  <si>
    <t>G23_PILOT_001_改喷嘴</t>
  </si>
  <si>
    <t>G23_PILOT_002_改喷嘴</t>
  </si>
  <si>
    <t>G23_PILOT_004</t>
  </si>
  <si>
    <t>G23_PILOT_006</t>
  </si>
  <si>
    <t>G23_PILOT_008</t>
  </si>
  <si>
    <t>G23_PILOT_009</t>
  </si>
  <si>
    <t>G23_PILOT_010</t>
  </si>
  <si>
    <t>G23_PILOT_011</t>
  </si>
  <si>
    <t>G23_PILOT_012</t>
  </si>
  <si>
    <t>G23_PILOT_013</t>
  </si>
  <si>
    <t>G23_PILOT_014</t>
  </si>
  <si>
    <t>G23_PILOT_015</t>
  </si>
  <si>
    <t>G23_PILOT_016</t>
  </si>
  <si>
    <t>G23_PILOT_017</t>
  </si>
  <si>
    <t>G23_PILOT_018</t>
  </si>
  <si>
    <t>G23_PILOT_019</t>
  </si>
  <si>
    <t>G23_PILOT_020</t>
  </si>
  <si>
    <t>G23_PILOT_021</t>
  </si>
  <si>
    <t>G23_PILOT_022</t>
  </si>
  <si>
    <t>G23_PILOT_023</t>
  </si>
  <si>
    <t>G23_PILOT_024</t>
  </si>
  <si>
    <t>G23_PILOT_025</t>
  </si>
  <si>
    <t>G23_PILOT_026</t>
  </si>
  <si>
    <t>G23_PILOT_027</t>
  </si>
  <si>
    <t>G23_PILOT_028</t>
  </si>
  <si>
    <t>header  set_nozzle=0
set_gerr2=-0.338132
set_gerr1=2.814077
set_gerr0=-1.645232
set_s1=-0.052
set_s2=1.1028
set_tr=300</t>
  </si>
  <si>
    <t>版本号</t>
  </si>
  <si>
    <t>修改人</t>
  </si>
  <si>
    <t>时间</t>
  </si>
  <si>
    <t>V1</t>
  </si>
  <si>
    <t>初稿</t>
  </si>
  <si>
    <t>KL</t>
  </si>
  <si>
    <t>V2</t>
  </si>
  <si>
    <t>增加系数a</t>
  </si>
  <si>
    <t>V3</t>
  </si>
  <si>
    <t>修改了alpha命名，增加了abcd</t>
  </si>
  <si>
    <t>V5</t>
  </si>
  <si>
    <t>增加了bp</t>
  </si>
  <si>
    <t>V6</t>
  </si>
  <si>
    <t>增加了pilot002</t>
  </si>
  <si>
    <t>V7</t>
  </si>
  <si>
    <t>增加了PILOT002的bp</t>
  </si>
  <si>
    <t>V8</t>
  </si>
  <si>
    <t>修改COS的 gas id</t>
  </si>
  <si>
    <t>V9</t>
  </si>
  <si>
    <t>加入了PILOT003</t>
  </si>
  <si>
    <t>V10</t>
  </si>
  <si>
    <t>加入了PILOT001_改喷嘴</t>
  </si>
  <si>
    <t>V13</t>
  </si>
  <si>
    <t>加入了004,006,008</t>
  </si>
  <si>
    <t>V14</t>
  </si>
  <si>
    <t>加入体积参数</t>
  </si>
  <si>
    <t>MENK</t>
  </si>
  <si>
    <t>V15</t>
  </si>
  <si>
    <t>增加导出数据库公式处理</t>
  </si>
  <si>
    <t>V16</t>
  </si>
  <si>
    <t>增加了009</t>
  </si>
  <si>
    <t>V17</t>
  </si>
  <si>
    <t>增加了H2，7号气体</t>
  </si>
  <si>
    <t>V18</t>
  </si>
  <si>
    <t>增加了010数据</t>
  </si>
  <si>
    <t>V19</t>
  </si>
  <si>
    <t>增加了011-014的数据，不包含011-013的底压</t>
  </si>
  <si>
    <t>V20</t>
  </si>
  <si>
    <t>增加了014底压</t>
  </si>
  <si>
    <t>V21</t>
  </si>
  <si>
    <t>增加了013底压</t>
  </si>
  <si>
    <t>V22</t>
  </si>
  <si>
    <t>V23</t>
  </si>
  <si>
    <t>增加了012的底压</t>
  </si>
  <si>
    <t>V24</t>
  </si>
  <si>
    <t>增加了15，16,17参数</t>
  </si>
  <si>
    <t>V25</t>
  </si>
  <si>
    <t>增加了18的参数</t>
  </si>
  <si>
    <t>V26</t>
  </si>
  <si>
    <t>增加了19和20的参数</t>
  </si>
  <si>
    <t>V27</t>
  </si>
  <si>
    <t>增加了23-40行的气体参数</t>
  </si>
  <si>
    <t>V28</t>
  </si>
  <si>
    <t>增加了21和22的的气体参数</t>
  </si>
  <si>
    <t>V29</t>
  </si>
  <si>
    <t>增加了23,24,25的参数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</si>
</sst>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2"/>
      <color theme="1"/>
      <name val="Aptos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16" fontId="0" fillId="0" borderId="0" xfId="0" applyNumberFormat="1"/>
    <xf numFmtId="0" fontId="2" fillId="0" borderId="0" xfId="0" applyFont="1"/>
    <xf numFmtId="58" fontId="0" fillId="0" borderId="0" xfId="0" applyNumberFormat="1"/>
    <xf numFmtId="0" fontId="3" fillId="0" borderId="0" xfId="0" applyFont="1"/>
    <xf numFmtId="0" fontId="4" fillId="0" borderId="0" xfId="0" applyFont="1"/>
    <xf numFmtId="0" fontId="0" fillId="0" borderId="0" xfId="0" applyAlignment="1">
      <alignment wrapText="1"/>
    </xf>
    <xf numFmtId="0" fontId="0" fillId="0" borderId="1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N40"/>
  <sheetViews>
    <sheetView topLeftCell="A19" workbookViewId="0">
      <selection activeCell="I49" sqref="I48:I49"/>
    </sheetView>
  </sheetViews>
  <sheetFormatPr defaultColWidth="9" defaultRowHeight="14.25"/>
  <cols>
    <col min="14" max="14" width="56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4">
      <c r="A2">
        <v>1</v>
      </c>
      <c r="B2" t="s">
        <v>11</v>
      </c>
      <c r="C2">
        <v>1.667</v>
      </c>
      <c r="D2">
        <v>4.002</v>
      </c>
      <c r="E2">
        <v>1.115</v>
      </c>
      <c r="F2">
        <v>0.363025318922611</v>
      </c>
      <c r="G2">
        <v>0.487092169440701</v>
      </c>
      <c r="H2">
        <v>1</v>
      </c>
      <c r="I2">
        <v>0</v>
      </c>
      <c r="J2">
        <v>0</v>
      </c>
      <c r="K2">
        <v>0</v>
      </c>
      <c r="M2" s="1" t="s">
        <v>12</v>
      </c>
      <c r="N2" s="1" t="str">
        <f t="shared" ref="N2:N21" si="0">$M$12&amp;($M$2&amp;A2)&amp;CHAR(10)&amp;$M$3&amp;C2&amp;CHAR(10)&amp;$M$4&amp;D2&amp;CHAR(10)&amp;$M$5&amp;E2&amp;CHAR(10)&amp;$M$6&amp;F2&amp;CHAR(10)&amp;$M$7&amp;G2&amp;CHAR(10)&amp;$M$8&amp;H2&amp;CHAR(10)&amp;$M$9&amp;I2&amp;CHAR(10)&amp;$M$10&amp;J2&amp;CHAR(10)&amp;$M$11&amp;K2</f>
        <v>header set_gas=1
set_shr=1.667
set_mw=4.002
set_c1=1.115
set_c2=0.363025318922611
set_c3=0.487092169440701
set_a=1
set_b=0
set_c=0
set_d=0</v>
      </c>
    </row>
    <row r="3" spans="1:14">
      <c r="A3">
        <v>4</v>
      </c>
      <c r="B3" t="s">
        <v>13</v>
      </c>
      <c r="C3">
        <v>1.667</v>
      </c>
      <c r="D3">
        <v>39.948</v>
      </c>
      <c r="E3">
        <v>1.269</v>
      </c>
      <c r="F3">
        <v>0.114902092344169</v>
      </c>
      <c r="G3">
        <v>0.487092169440701</v>
      </c>
      <c r="H3">
        <v>1</v>
      </c>
      <c r="I3">
        <v>0</v>
      </c>
      <c r="J3">
        <v>0</v>
      </c>
      <c r="K3">
        <v>0</v>
      </c>
      <c r="M3" s="1" t="s">
        <v>14</v>
      </c>
      <c r="N3" s="1" t="str">
        <f t="shared" si="0"/>
        <v>header set_gas=4
set_shr=1.667
set_mw=39.948
set_c1=1.269
set_c2=0.114902092344169
set_c3=0.487092169440701
set_a=1
set_b=0
set_c=0
set_d=0</v>
      </c>
    </row>
    <row r="4" spans="1:14">
      <c r="A4">
        <v>13</v>
      </c>
      <c r="B4" t="s">
        <v>15</v>
      </c>
      <c r="C4">
        <v>1.4</v>
      </c>
      <c r="D4">
        <v>28</v>
      </c>
      <c r="E4">
        <v>1</v>
      </c>
      <c r="F4">
        <v>0.129402082031238</v>
      </c>
      <c r="G4">
        <v>0.528281787717174</v>
      </c>
      <c r="H4">
        <v>1</v>
      </c>
      <c r="I4">
        <v>0</v>
      </c>
      <c r="J4">
        <v>0</v>
      </c>
      <c r="K4">
        <v>0</v>
      </c>
      <c r="M4" s="1" t="s">
        <v>16</v>
      </c>
      <c r="N4" s="1" t="str">
        <f t="shared" si="0"/>
        <v>header set_gas=13
set_shr=1.4
set_mw=28
set_c1=1
set_c2=0.129402082031238
set_c3=0.528281787717174
set_a=1
set_b=0
set_c=0
set_d=0</v>
      </c>
    </row>
    <row r="5" spans="1:14">
      <c r="A5">
        <v>25</v>
      </c>
      <c r="B5" t="s">
        <v>17</v>
      </c>
      <c r="C5">
        <v>1.289</v>
      </c>
      <c r="D5">
        <v>44.01</v>
      </c>
      <c r="E5">
        <v>0.8366</v>
      </c>
      <c r="F5">
        <v>0.100281321601283</v>
      </c>
      <c r="G5">
        <v>0.547723501628019</v>
      </c>
      <c r="H5">
        <v>1</v>
      </c>
      <c r="I5">
        <v>0</v>
      </c>
      <c r="J5">
        <v>0</v>
      </c>
      <c r="K5">
        <v>0</v>
      </c>
      <c r="M5" s="1" t="s">
        <v>18</v>
      </c>
      <c r="N5" s="1" t="str">
        <f t="shared" si="0"/>
        <v>header set_gas=25
set_shr=1.289
set_mw=44.01
set_c1=0.8366
set_c2=0.100281321601283
set_c3=0.547723501628019
set_a=1
set_b=0
set_c=0
set_d=0</v>
      </c>
    </row>
    <row r="6" spans="1:14">
      <c r="A6">
        <v>110</v>
      </c>
      <c r="B6" t="s">
        <v>19</v>
      </c>
      <c r="C6">
        <v>1.1</v>
      </c>
      <c r="D6">
        <v>146</v>
      </c>
      <c r="E6">
        <v>0.853</v>
      </c>
      <c r="F6">
        <v>0.0520034641302041</v>
      </c>
      <c r="G6">
        <v>0.584679289086437</v>
      </c>
      <c r="H6">
        <v>1</v>
      </c>
      <c r="I6">
        <v>0</v>
      </c>
      <c r="J6">
        <v>0</v>
      </c>
      <c r="K6">
        <v>0</v>
      </c>
      <c r="M6" s="1" t="s">
        <v>20</v>
      </c>
      <c r="N6" s="1" t="str">
        <f t="shared" si="0"/>
        <v>header set_gas=110
set_shr=1.1
set_mw=146
set_c1=0.853
set_c2=0.0520034641302041
set_c3=0.584679289086437
set_a=1
set_b=0
set_c=0
set_d=0</v>
      </c>
    </row>
    <row r="7" spans="1:14">
      <c r="A7">
        <v>108</v>
      </c>
      <c r="B7" t="s">
        <v>21</v>
      </c>
      <c r="C7">
        <v>1.1</v>
      </c>
      <c r="D7">
        <v>169.9</v>
      </c>
      <c r="E7">
        <v>0.98</v>
      </c>
      <c r="F7">
        <v>0.0482072117274695</v>
      </c>
      <c r="G7">
        <v>0.584679289086437</v>
      </c>
      <c r="H7">
        <v>4.0032</v>
      </c>
      <c r="I7">
        <v>1149.8</v>
      </c>
      <c r="J7">
        <v>-43.04</v>
      </c>
      <c r="K7">
        <v>20</v>
      </c>
      <c r="M7" s="1" t="s">
        <v>22</v>
      </c>
      <c r="N7" s="1" t="str">
        <f t="shared" si="0"/>
        <v>header set_gas=108
set_shr=1.1
set_mw=169.9
set_c1=0.98
set_c2=0.0482072117274695
set_c3=0.584679289086437
set_a=4.0032
set_b=1149.8
set_c=-43.04
set_d=20</v>
      </c>
    </row>
    <row r="8" spans="1:14">
      <c r="A8">
        <v>15</v>
      </c>
      <c r="B8" t="s">
        <v>23</v>
      </c>
      <c r="C8">
        <v>1.4</v>
      </c>
      <c r="D8">
        <v>32</v>
      </c>
      <c r="E8">
        <v>1.15</v>
      </c>
      <c r="F8">
        <v>0.121044564024027</v>
      </c>
      <c r="G8">
        <v>0.528281787717174</v>
      </c>
      <c r="H8">
        <v>1</v>
      </c>
      <c r="I8">
        <v>0</v>
      </c>
      <c r="J8">
        <v>0</v>
      </c>
      <c r="K8">
        <v>0</v>
      </c>
      <c r="M8" s="1" t="s">
        <v>24</v>
      </c>
      <c r="N8" s="1" t="str">
        <f t="shared" si="0"/>
        <v>header set_gas=15
set_shr=1.4
set_mw=32
set_c1=1.15
set_c2=0.121044564024027
set_c3=0.528281787717174
set_a=1
set_b=0
set_c=0
set_d=0</v>
      </c>
    </row>
    <row r="9" spans="1:14">
      <c r="A9">
        <v>297</v>
      </c>
      <c r="B9" t="s">
        <v>25</v>
      </c>
      <c r="C9">
        <v>1.06</v>
      </c>
      <c r="D9">
        <v>162</v>
      </c>
      <c r="E9">
        <v>0.853</v>
      </c>
      <c r="F9">
        <v>0.0486993391548769</v>
      </c>
      <c r="G9">
        <v>0.59321077406382</v>
      </c>
      <c r="H9">
        <v>0.06</v>
      </c>
      <c r="I9">
        <v>0</v>
      </c>
      <c r="J9">
        <v>0</v>
      </c>
      <c r="K9">
        <v>0</v>
      </c>
      <c r="M9" s="1" t="s">
        <v>26</v>
      </c>
      <c r="N9" s="1" t="str">
        <f t="shared" si="0"/>
        <v>header set_gas=297
set_shr=1.06
set_mw=162
set_c1=0.853
set_c2=0.0486993391548769
set_c3=0.59321077406382
set_a=0.06
set_b=0
set_c=0
set_d=0</v>
      </c>
    </row>
    <row r="10" spans="1:14">
      <c r="A10">
        <v>28</v>
      </c>
      <c r="B10" t="s">
        <v>27</v>
      </c>
      <c r="C10">
        <v>1.32</v>
      </c>
      <c r="D10">
        <v>16</v>
      </c>
      <c r="E10">
        <v>0.58</v>
      </c>
      <c r="F10">
        <v>0.167713013820073</v>
      </c>
      <c r="G10">
        <v>0.542139179851747</v>
      </c>
      <c r="H10">
        <v>1</v>
      </c>
      <c r="I10">
        <v>0</v>
      </c>
      <c r="J10">
        <v>0</v>
      </c>
      <c r="K10">
        <v>0</v>
      </c>
      <c r="M10" s="1" t="s">
        <v>28</v>
      </c>
      <c r="N10" s="1" t="str">
        <f t="shared" si="0"/>
        <v>header set_gas=28
set_shr=1.32
set_mw=16
set_c1=0.58
set_c2=0.167713013820073
set_c3=0.542139179851747
set_a=1
set_b=0
set_c=0
set_d=0</v>
      </c>
    </row>
    <row r="11" spans="1:14">
      <c r="A11">
        <v>34</v>
      </c>
      <c r="B11" t="s">
        <v>29</v>
      </c>
      <c r="C11">
        <v>1.25</v>
      </c>
      <c r="D11">
        <v>60</v>
      </c>
      <c r="E11">
        <v>0.69</v>
      </c>
      <c r="F11">
        <v>0.0849557993059992</v>
      </c>
      <c r="G11">
        <v>0.554928957306643</v>
      </c>
      <c r="H11">
        <v>1</v>
      </c>
      <c r="I11">
        <v>0</v>
      </c>
      <c r="J11">
        <v>0</v>
      </c>
      <c r="K11">
        <v>0</v>
      </c>
      <c r="M11" s="1" t="s">
        <v>30</v>
      </c>
      <c r="N11" s="1" t="str">
        <f t="shared" si="0"/>
        <v>header set_gas=34
set_shr=1.25
set_mw=60
set_c1=0.69
set_c2=0.0849557993059992
set_c3=0.554928957306643
set_a=1
set_b=0
set_c=0
set_d=0</v>
      </c>
    </row>
    <row r="12" spans="1:14">
      <c r="A12">
        <v>19</v>
      </c>
      <c r="B12" t="s">
        <v>31</v>
      </c>
      <c r="C12">
        <v>1.33</v>
      </c>
      <c r="D12">
        <v>71</v>
      </c>
      <c r="E12">
        <v>0.768</v>
      </c>
      <c r="F12">
        <v>0.0798263056832846</v>
      </c>
      <c r="G12">
        <v>0.54036401763595</v>
      </c>
      <c r="H12">
        <v>1</v>
      </c>
      <c r="I12">
        <v>0</v>
      </c>
      <c r="J12">
        <v>0</v>
      </c>
      <c r="K12">
        <v>0</v>
      </c>
      <c r="M12" t="s">
        <v>32</v>
      </c>
      <c r="N12" s="1" t="str">
        <f t="shared" si="0"/>
        <v>header set_gas=19
set_shr=1.33
set_mw=71
set_c1=0.768
set_c2=0.0798263056832846
set_c3=0.54036401763595
set_a=1
set_b=0
set_c=0
set_d=0</v>
      </c>
    </row>
    <row r="13" spans="1:14">
      <c r="A13">
        <v>160</v>
      </c>
      <c r="B13" t="s">
        <v>33</v>
      </c>
      <c r="C13">
        <v>1.24</v>
      </c>
      <c r="D13">
        <v>52</v>
      </c>
      <c r="E13">
        <v>0.81</v>
      </c>
      <c r="F13">
        <v>0.090996578908725</v>
      </c>
      <c r="G13">
        <v>0.556809816030138</v>
      </c>
      <c r="H13">
        <v>4.262</v>
      </c>
      <c r="I13">
        <v>821.09</v>
      </c>
      <c r="J13">
        <v>-28.55</v>
      </c>
      <c r="K13">
        <v>0</v>
      </c>
      <c r="N13" s="1" t="str">
        <f t="shared" si="0"/>
        <v>header set_gas=160
set_shr=1.24
set_mw=52
set_c1=0.81
set_c2=0.090996578908725
set_c3=0.556809816030138
set_a=4.262
set_b=821.09
set_c=-28.55
set_d=0</v>
      </c>
    </row>
    <row r="14" spans="1:14">
      <c r="A14">
        <v>49</v>
      </c>
      <c r="B14" t="s">
        <v>34</v>
      </c>
      <c r="C14">
        <v>1.19</v>
      </c>
      <c r="D14">
        <v>70</v>
      </c>
      <c r="E14">
        <v>0.82</v>
      </c>
      <c r="F14">
        <v>0.0772813444103121</v>
      </c>
      <c r="G14">
        <v>0.566425958602578</v>
      </c>
      <c r="H14">
        <v>1</v>
      </c>
      <c r="I14">
        <v>0</v>
      </c>
      <c r="J14">
        <v>0</v>
      </c>
      <c r="K14">
        <v>0</v>
      </c>
      <c r="N14" s="1" t="str">
        <f t="shared" si="0"/>
        <v>header set_gas=49
set_shr=1.19
set_mw=70
set_c1=0.82
set_c2=0.0772813444103121
set_c3=0.566425958602578
set_a=1
set_b=0
set_c=0
set_d=0</v>
      </c>
    </row>
    <row r="15" spans="1:14">
      <c r="A15">
        <v>10</v>
      </c>
      <c r="B15" t="s">
        <v>35</v>
      </c>
      <c r="C15">
        <v>1.38</v>
      </c>
      <c r="D15">
        <v>81</v>
      </c>
      <c r="E15">
        <v>1.07</v>
      </c>
      <c r="F15">
        <v>0.0757034653508419</v>
      </c>
      <c r="G15">
        <v>0.531673782783774</v>
      </c>
      <c r="H15">
        <v>4.15</v>
      </c>
      <c r="I15">
        <v>754.97</v>
      </c>
      <c r="J15">
        <v>-25.086</v>
      </c>
      <c r="K15">
        <v>0</v>
      </c>
      <c r="N15" s="1" t="str">
        <f t="shared" si="0"/>
        <v>header set_gas=10
set_shr=1.38
set_mw=81
set_c1=1.07
set_c2=0.0757034653508419
set_c3=0.531673782783774
set_a=4.15
set_b=754.97
set_c=-25.086
set_d=0</v>
      </c>
    </row>
    <row r="16" spans="1:14">
      <c r="A16">
        <v>63</v>
      </c>
      <c r="B16" t="s">
        <v>36</v>
      </c>
      <c r="C16">
        <v>1.18</v>
      </c>
      <c r="D16">
        <v>88</v>
      </c>
      <c r="E16">
        <v>1.01</v>
      </c>
      <c r="F16">
        <v>0.0687165631285626</v>
      </c>
      <c r="G16">
        <v>0.568392728733342</v>
      </c>
      <c r="H16">
        <v>1</v>
      </c>
      <c r="I16">
        <v>0</v>
      </c>
      <c r="J16">
        <v>0</v>
      </c>
      <c r="K16">
        <v>0</v>
      </c>
      <c r="N16" s="1" t="str">
        <f t="shared" si="0"/>
        <v>header set_gas=63
set_shr=1.18
set_mw=88
set_c1=1.01
set_c2=0.0687165631285626
set_c3=0.568392728733342
set_a=1
set_b=0
set_c=0
set_d=0</v>
      </c>
    </row>
    <row r="17" spans="1:14">
      <c r="A17">
        <v>53</v>
      </c>
      <c r="B17" t="s">
        <v>37</v>
      </c>
      <c r="C17">
        <v>1.18</v>
      </c>
      <c r="D17">
        <v>71</v>
      </c>
      <c r="E17">
        <v>0.97</v>
      </c>
      <c r="F17">
        <v>0.0765021413896878</v>
      </c>
      <c r="G17">
        <v>0.568392728733342</v>
      </c>
      <c r="H17">
        <v>1</v>
      </c>
      <c r="I17">
        <v>0</v>
      </c>
      <c r="J17">
        <v>0</v>
      </c>
      <c r="K17">
        <v>0</v>
      </c>
      <c r="N17" s="1" t="str">
        <f t="shared" si="0"/>
        <v>header set_gas=53
set_shr=1.18
set_mw=71
set_c1=0.97
set_c2=0.0765021413896878
set_c3=0.568392728733342
set_a=1
set_b=0
set_c=0
set_d=0</v>
      </c>
    </row>
    <row r="18" spans="1:14">
      <c r="A18">
        <v>33</v>
      </c>
      <c r="B18" t="s">
        <v>38</v>
      </c>
      <c r="C18">
        <v>1.28</v>
      </c>
      <c r="D18">
        <v>34</v>
      </c>
      <c r="E18">
        <v>0.67</v>
      </c>
      <c r="F18">
        <v>0.113810279189924</v>
      </c>
      <c r="G18">
        <v>0.549368225211583</v>
      </c>
      <c r="H18">
        <v>1</v>
      </c>
      <c r="I18">
        <v>0</v>
      </c>
      <c r="J18">
        <v>0</v>
      </c>
      <c r="K18">
        <v>0</v>
      </c>
      <c r="N18" s="1" t="str">
        <f t="shared" si="0"/>
        <v>header set_gas=33
set_shr=1.28
set_mw=34
set_c1=0.67
set_c2=0.113810279189924
set_c3=0.549368225211583
set_a=1
set_b=0
set_c=0
set_d=0</v>
      </c>
    </row>
    <row r="19" spans="1:14">
      <c r="A19">
        <v>129</v>
      </c>
      <c r="B19" t="s">
        <v>39</v>
      </c>
      <c r="C19">
        <v>1.05</v>
      </c>
      <c r="D19">
        <v>200</v>
      </c>
      <c r="E19">
        <v>0.58</v>
      </c>
      <c r="F19">
        <v>0.0436757539973</v>
      </c>
      <c r="G19">
        <v>0.595386285715933</v>
      </c>
      <c r="H19">
        <v>4.254</v>
      </c>
      <c r="I19">
        <v>1007.4</v>
      </c>
      <c r="J19">
        <v>-30.205</v>
      </c>
      <c r="K19">
        <v>0</v>
      </c>
      <c r="N19" s="1" t="str">
        <f t="shared" si="0"/>
        <v>header set_gas=129
set_shr=1.05
set_mw=200
set_c1=0.58
set_c2=0.0436757539973
set_c3=0.595386285715933
set_a=4.254
set_b=1007.4
set_c=-30.205
set_d=0</v>
      </c>
    </row>
    <row r="20" spans="1:14">
      <c r="A20">
        <v>70</v>
      </c>
      <c r="B20" t="s">
        <v>40</v>
      </c>
      <c r="C20">
        <v>1.15</v>
      </c>
      <c r="D20">
        <v>117.16</v>
      </c>
      <c r="E20">
        <v>0.62</v>
      </c>
      <c r="F20">
        <v>0.059058</v>
      </c>
      <c r="G20">
        <v>0.573778</v>
      </c>
      <c r="H20">
        <v>3.95145</v>
      </c>
      <c r="I20">
        <v>973.995</v>
      </c>
      <c r="J20">
        <v>-38.994</v>
      </c>
      <c r="K20">
        <v>0</v>
      </c>
      <c r="N20" s="1" t="str">
        <f t="shared" si="0"/>
        <v>header set_gas=70
set_shr=1.15
set_mw=117.16
set_c1=0.62
set_c2=0.059058
set_c3=0.573778
set_a=3.95145
set_b=973.995
set_c=-38.994
set_d=0</v>
      </c>
    </row>
    <row r="21" spans="1:14">
      <c r="A21">
        <v>39</v>
      </c>
      <c r="B21" t="s">
        <v>41</v>
      </c>
      <c r="C21">
        <v>1.269</v>
      </c>
      <c r="D21">
        <v>32</v>
      </c>
      <c r="E21">
        <v>0.624</v>
      </c>
      <c r="F21">
        <f t="shared" ref="F21" si="1">(1/D21)^0.5*(2*C21/(C21+1))^0.5*(2/(C21+1))^(1/(C21-1))</f>
        <v>0.116955155368212</v>
      </c>
      <c r="G21">
        <f t="shared" ref="G21" si="2">(2/(C21+1))^(C21/(C21-1))</f>
        <v>0.55139306326529</v>
      </c>
      <c r="H21">
        <v>1</v>
      </c>
      <c r="I21">
        <v>0</v>
      </c>
      <c r="J21">
        <v>0</v>
      </c>
      <c r="K21">
        <v>0</v>
      </c>
      <c r="N21" s="1" t="str">
        <f t="shared" si="0"/>
        <v>header set_gas=39
set_shr=1.269
set_mw=32
set_c1=0.624
set_c2=0.116955155368212
set_c3=0.55139306326529
set_a=1
set_b=0
set_c=0
set_d=0</v>
      </c>
    </row>
    <row r="22" spans="1:11">
      <c r="A22">
        <v>7</v>
      </c>
      <c r="B22" t="s">
        <v>42</v>
      </c>
      <c r="C22">
        <v>1.41</v>
      </c>
      <c r="D22">
        <v>2</v>
      </c>
      <c r="E22">
        <v>0.5</v>
      </c>
      <c r="F22">
        <v>0.485368572376218</v>
      </c>
      <c r="G22">
        <v>0.526603292799095</v>
      </c>
      <c r="H22">
        <v>1</v>
      </c>
      <c r="I22">
        <v>0</v>
      </c>
      <c r="J22">
        <v>0</v>
      </c>
      <c r="K22">
        <v>0</v>
      </c>
    </row>
    <row r="23" spans="1:11">
      <c r="A23">
        <v>6</v>
      </c>
      <c r="B23" t="s">
        <v>43</v>
      </c>
      <c r="C23">
        <v>1.666</v>
      </c>
      <c r="D23">
        <v>131.3</v>
      </c>
      <c r="E23">
        <v>1.29</v>
      </c>
      <c r="F23">
        <v>0.063366162101405</v>
      </c>
      <c r="G23">
        <v>0.48723355946916</v>
      </c>
      <c r="H23">
        <v>1</v>
      </c>
      <c r="I23">
        <v>0</v>
      </c>
      <c r="J23">
        <v>0</v>
      </c>
      <c r="K23">
        <v>0</v>
      </c>
    </row>
    <row r="24" spans="1:11">
      <c r="A24">
        <v>9</v>
      </c>
      <c r="B24" t="s">
        <v>44</v>
      </c>
      <c r="C24">
        <v>1.39</v>
      </c>
      <c r="D24">
        <v>28</v>
      </c>
      <c r="E24">
        <v>1</v>
      </c>
      <c r="F24">
        <v>0.129081851906423</v>
      </c>
      <c r="G24">
        <v>0.529971908797064</v>
      </c>
      <c r="H24">
        <v>1</v>
      </c>
      <c r="I24">
        <v>0</v>
      </c>
      <c r="J24">
        <v>0</v>
      </c>
      <c r="K24">
        <v>0</v>
      </c>
    </row>
    <row r="25" spans="1:11">
      <c r="A25">
        <v>11</v>
      </c>
      <c r="B25" t="s">
        <v>45</v>
      </c>
      <c r="C25">
        <v>1.4</v>
      </c>
      <c r="D25">
        <v>36.5</v>
      </c>
      <c r="E25">
        <v>0.84</v>
      </c>
      <c r="F25">
        <v>0.113337557081821</v>
      </c>
      <c r="G25">
        <v>0.528281787717174</v>
      </c>
      <c r="H25">
        <v>1</v>
      </c>
      <c r="I25">
        <v>0</v>
      </c>
      <c r="J25">
        <v>0</v>
      </c>
      <c r="K25">
        <v>0</v>
      </c>
    </row>
    <row r="26" spans="1:11">
      <c r="A26">
        <v>12</v>
      </c>
      <c r="B26" t="s">
        <v>46</v>
      </c>
      <c r="C26">
        <v>1.4</v>
      </c>
      <c r="D26">
        <v>20</v>
      </c>
      <c r="E26">
        <v>0.8</v>
      </c>
      <c r="F26">
        <v>0.153110608279201</v>
      </c>
      <c r="G26">
        <v>0.528281787717174</v>
      </c>
      <c r="H26">
        <v>4.91</v>
      </c>
      <c r="I26">
        <v>1556</v>
      </c>
      <c r="J26">
        <v>24</v>
      </c>
      <c r="K26">
        <v>0</v>
      </c>
    </row>
    <row r="27" spans="1:11">
      <c r="A27">
        <v>18</v>
      </c>
      <c r="B27" t="s">
        <v>47</v>
      </c>
      <c r="C27">
        <v>1.36</v>
      </c>
      <c r="D27">
        <v>38</v>
      </c>
      <c r="E27">
        <v>1.28</v>
      </c>
      <c r="F27">
        <v>0.109967514632067</v>
      </c>
      <c r="G27">
        <v>0.535113306006411</v>
      </c>
      <c r="H27">
        <v>1</v>
      </c>
      <c r="I27">
        <v>0</v>
      </c>
      <c r="J27">
        <v>0</v>
      </c>
      <c r="K27">
        <v>0</v>
      </c>
    </row>
    <row r="28" spans="1:11">
      <c r="A28">
        <v>26</v>
      </c>
      <c r="B28" t="s">
        <v>48</v>
      </c>
      <c r="C28">
        <v>1.29</v>
      </c>
      <c r="D28">
        <v>46</v>
      </c>
      <c r="E28">
        <v>0.81</v>
      </c>
      <c r="F28">
        <v>0.0981150559196097</v>
      </c>
      <c r="G28">
        <v>0.547541413855536</v>
      </c>
      <c r="H28">
        <v>3.35</v>
      </c>
      <c r="I28">
        <v>540</v>
      </c>
      <c r="J28">
        <v>-131</v>
      </c>
      <c r="K28">
        <v>0</v>
      </c>
    </row>
    <row r="29" spans="1:11">
      <c r="A29">
        <v>27</v>
      </c>
      <c r="B29" t="s">
        <v>49</v>
      </c>
      <c r="C29">
        <v>1.27</v>
      </c>
      <c r="D29">
        <v>44</v>
      </c>
      <c r="E29">
        <v>0.84</v>
      </c>
      <c r="F29">
        <v>0.0997675288867793</v>
      </c>
      <c r="G29">
        <v>0.551208317713528</v>
      </c>
      <c r="H29">
        <v>1</v>
      </c>
      <c r="I29">
        <v>0</v>
      </c>
      <c r="J29">
        <v>0</v>
      </c>
      <c r="K29">
        <v>0</v>
      </c>
    </row>
    <row r="30" ht="28.5" spans="1:13">
      <c r="A30">
        <v>29</v>
      </c>
      <c r="B30" t="s">
        <v>50</v>
      </c>
      <c r="C30">
        <v>1.3</v>
      </c>
      <c r="D30">
        <v>17</v>
      </c>
      <c r="E30">
        <v>0.57</v>
      </c>
      <c r="F30">
        <v>0.161834891421416</v>
      </c>
      <c r="G30">
        <v>0.545727733814065</v>
      </c>
      <c r="H30">
        <v>1</v>
      </c>
      <c r="I30">
        <v>0</v>
      </c>
      <c r="J30">
        <v>0</v>
      </c>
      <c r="K30">
        <v>0</v>
      </c>
      <c r="M30" s="2" t="s">
        <v>51</v>
      </c>
    </row>
    <row r="31" spans="1:11">
      <c r="A31">
        <v>30</v>
      </c>
      <c r="B31" t="s">
        <v>52</v>
      </c>
      <c r="C31">
        <v>1.27</v>
      </c>
      <c r="D31">
        <v>48</v>
      </c>
      <c r="E31">
        <v>0.84</v>
      </c>
      <c r="F31">
        <v>0.095520136630066</v>
      </c>
      <c r="G31">
        <v>0.551208317713528</v>
      </c>
      <c r="H31">
        <v>1</v>
      </c>
      <c r="I31">
        <v>0</v>
      </c>
      <c r="J31">
        <v>0</v>
      </c>
      <c r="K31">
        <v>0</v>
      </c>
    </row>
    <row r="32" spans="1:11">
      <c r="A32">
        <v>31</v>
      </c>
      <c r="B32" t="s">
        <v>53</v>
      </c>
      <c r="C32">
        <v>1.29</v>
      </c>
      <c r="D32">
        <v>34</v>
      </c>
      <c r="E32">
        <v>0.69</v>
      </c>
      <c r="F32">
        <v>0.11412350805841</v>
      </c>
      <c r="G32">
        <v>0.547541413855536</v>
      </c>
      <c r="H32">
        <v>1</v>
      </c>
      <c r="I32">
        <v>0</v>
      </c>
      <c r="J32">
        <v>0</v>
      </c>
      <c r="K32">
        <v>0</v>
      </c>
    </row>
    <row r="33" spans="1:11">
      <c r="A33">
        <v>38</v>
      </c>
      <c r="B33" t="s">
        <v>54</v>
      </c>
      <c r="C33">
        <v>1.24</v>
      </c>
      <c r="D33">
        <v>28</v>
      </c>
      <c r="E33">
        <v>0.58</v>
      </c>
      <c r="F33">
        <v>0.124007434022662</v>
      </c>
      <c r="G33">
        <v>0.556809816030138</v>
      </c>
      <c r="H33">
        <v>1</v>
      </c>
      <c r="I33">
        <v>0</v>
      </c>
      <c r="J33">
        <v>0</v>
      </c>
      <c r="K33">
        <v>0</v>
      </c>
    </row>
    <row r="34" spans="1:11">
      <c r="A34">
        <v>42</v>
      </c>
      <c r="B34" t="s">
        <v>55</v>
      </c>
      <c r="C34">
        <v>1.23</v>
      </c>
      <c r="D34">
        <v>26</v>
      </c>
      <c r="E34">
        <v>0.59</v>
      </c>
      <c r="F34">
        <v>0.128317398560676</v>
      </c>
      <c r="G34">
        <v>0.558704579262565</v>
      </c>
      <c r="H34">
        <v>1</v>
      </c>
      <c r="I34">
        <v>0</v>
      </c>
      <c r="J34">
        <v>0</v>
      </c>
      <c r="K34">
        <v>0</v>
      </c>
    </row>
    <row r="35" spans="1:11">
      <c r="A35">
        <v>48</v>
      </c>
      <c r="B35" t="s">
        <v>56</v>
      </c>
      <c r="C35">
        <v>1.2</v>
      </c>
      <c r="D35">
        <v>67.8</v>
      </c>
      <c r="E35">
        <v>0.97</v>
      </c>
      <c r="F35">
        <v>0.078761867989708</v>
      </c>
      <c r="G35">
        <v>0.564473930053777</v>
      </c>
      <c r="H35">
        <v>1</v>
      </c>
      <c r="I35">
        <v>0</v>
      </c>
      <c r="J35">
        <v>0</v>
      </c>
      <c r="K35">
        <v>0</v>
      </c>
    </row>
    <row r="36" spans="1:11">
      <c r="A36">
        <v>58</v>
      </c>
      <c r="B36" t="s">
        <v>57</v>
      </c>
      <c r="C36">
        <v>1.17</v>
      </c>
      <c r="D36">
        <v>27.7</v>
      </c>
      <c r="E36">
        <v>0.46</v>
      </c>
      <c r="F36">
        <v>0.12210345496013</v>
      </c>
      <c r="G36">
        <v>0.570374416116612</v>
      </c>
      <c r="H36">
        <v>1</v>
      </c>
      <c r="I36">
        <v>0</v>
      </c>
      <c r="J36">
        <v>0</v>
      </c>
      <c r="K36">
        <v>0</v>
      </c>
    </row>
    <row r="37" spans="1:11">
      <c r="A37">
        <v>61</v>
      </c>
      <c r="B37" t="s">
        <v>58</v>
      </c>
      <c r="C37">
        <v>1.15</v>
      </c>
      <c r="D37">
        <v>42</v>
      </c>
      <c r="E37">
        <v>0.52</v>
      </c>
      <c r="F37">
        <v>0.0985440214263609</v>
      </c>
      <c r="G37">
        <v>0.574383259817943</v>
      </c>
      <c r="H37">
        <v>1</v>
      </c>
      <c r="I37">
        <v>0</v>
      </c>
      <c r="J37">
        <v>0</v>
      </c>
      <c r="K37">
        <v>0</v>
      </c>
    </row>
    <row r="38" spans="1:11">
      <c r="A38">
        <v>67</v>
      </c>
      <c r="B38" t="s">
        <v>59</v>
      </c>
      <c r="C38">
        <v>1.15</v>
      </c>
      <c r="D38">
        <v>101</v>
      </c>
      <c r="E38">
        <v>0.66</v>
      </c>
      <c r="F38">
        <v>0.0635468810082014</v>
      </c>
      <c r="G38">
        <v>0.574383259817943</v>
      </c>
      <c r="H38">
        <v>0.07</v>
      </c>
      <c r="I38">
        <v>0</v>
      </c>
      <c r="J38">
        <v>0</v>
      </c>
      <c r="K38">
        <v>0</v>
      </c>
    </row>
    <row r="39" spans="1:11">
      <c r="A39">
        <v>89</v>
      </c>
      <c r="B39" t="s">
        <v>60</v>
      </c>
      <c r="C39">
        <v>1.13</v>
      </c>
      <c r="D39">
        <v>44.1</v>
      </c>
      <c r="E39">
        <v>0.46</v>
      </c>
      <c r="F39">
        <v>0.0955572240289031</v>
      </c>
      <c r="G39">
        <v>0.578453953913142</v>
      </c>
      <c r="H39">
        <v>1</v>
      </c>
      <c r="I39">
        <v>0</v>
      </c>
      <c r="J39">
        <v>0</v>
      </c>
      <c r="K39">
        <v>0</v>
      </c>
    </row>
    <row r="40" spans="1:11">
      <c r="A40">
        <v>32</v>
      </c>
      <c r="B40" t="s">
        <v>61</v>
      </c>
      <c r="C40">
        <v>1.26</v>
      </c>
      <c r="D40">
        <v>64</v>
      </c>
      <c r="E40">
        <v>0.73</v>
      </c>
      <c r="F40">
        <v>0.0824913107252903</v>
      </c>
      <c r="G40">
        <v>0.553061843548458</v>
      </c>
      <c r="H40">
        <v>1</v>
      </c>
      <c r="I40">
        <v>0</v>
      </c>
      <c r="J40">
        <v>0</v>
      </c>
      <c r="K40">
        <v>0</v>
      </c>
    </row>
  </sheetData>
  <pageMargins left="0.7" right="0.7" top="0.75" bottom="0.75" header="0.3" footer="0.3"/>
  <pageSetup paperSize="9" orientation="portrait" horizontalDpi="1200" verticalDpi="12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W44"/>
  <sheetViews>
    <sheetView tabSelected="1" zoomScale="85" zoomScaleNormal="85" topLeftCell="A7" workbookViewId="0">
      <selection activeCell="D44" sqref="D44"/>
    </sheetView>
  </sheetViews>
  <sheetFormatPr defaultColWidth="9" defaultRowHeight="14.25"/>
  <cols>
    <col min="1" max="1" width="27.875" customWidth="1"/>
    <col min="2" max="2" width="17.625" customWidth="1"/>
    <col min="4" max="4" width="13.75" customWidth="1"/>
    <col min="5" max="5" width="8.625" customWidth="1"/>
    <col min="7" max="7" width="9.625" customWidth="1"/>
    <col min="9" max="9" width="5.125" customWidth="1"/>
    <col min="17" max="17" width="12.625"/>
    <col min="19" max="20" width="6" customWidth="1"/>
    <col min="23" max="23" width="14.25" customWidth="1"/>
  </cols>
  <sheetData>
    <row r="1" spans="1:3">
      <c r="A1" t="s">
        <v>62</v>
      </c>
      <c r="B1" t="s">
        <v>63</v>
      </c>
      <c r="C1" t="s">
        <v>64</v>
      </c>
    </row>
    <row r="2" spans="1:3">
      <c r="A2" t="s">
        <v>65</v>
      </c>
      <c r="B2" t="s">
        <v>66</v>
      </c>
      <c r="C2" t="s">
        <v>67</v>
      </c>
    </row>
    <row r="3" spans="1:2">
      <c r="A3" t="s">
        <v>68</v>
      </c>
      <c r="B3" t="s">
        <v>69</v>
      </c>
    </row>
    <row r="4" spans="1:2">
      <c r="A4" t="s">
        <v>70</v>
      </c>
      <c r="B4" t="s">
        <v>71</v>
      </c>
    </row>
    <row r="5" spans="1:2">
      <c r="A5" t="s">
        <v>72</v>
      </c>
      <c r="B5" t="s">
        <v>73</v>
      </c>
    </row>
    <row r="6" spans="1:2">
      <c r="A6" t="s">
        <v>74</v>
      </c>
      <c r="B6" t="s">
        <v>75</v>
      </c>
    </row>
    <row r="7" spans="1:2">
      <c r="A7" t="s">
        <v>76</v>
      </c>
      <c r="B7" t="s">
        <v>77</v>
      </c>
    </row>
    <row r="8" spans="1:1">
      <c r="A8" t="s">
        <v>78</v>
      </c>
    </row>
    <row r="12" s="6" customFormat="1" spans="1:23">
      <c r="A12" s="6" t="s">
        <v>79</v>
      </c>
      <c r="B12" s="6" t="s">
        <v>80</v>
      </c>
      <c r="E12" s="6" t="s">
        <v>81</v>
      </c>
      <c r="H12" s="6" t="s">
        <v>82</v>
      </c>
      <c r="I12" s="6" t="s">
        <v>83</v>
      </c>
      <c r="J12" s="6" t="s">
        <v>84</v>
      </c>
      <c r="K12" s="6" t="s">
        <v>85</v>
      </c>
      <c r="L12" s="6" t="s">
        <v>86</v>
      </c>
      <c r="M12" s="6" t="s">
        <v>87</v>
      </c>
      <c r="N12" s="6" t="s">
        <v>88</v>
      </c>
      <c r="O12" s="6" t="s">
        <v>89</v>
      </c>
      <c r="P12" s="6" t="s">
        <v>90</v>
      </c>
      <c r="Q12" s="6" t="s">
        <v>91</v>
      </c>
      <c r="R12" s="6" t="s">
        <v>92</v>
      </c>
      <c r="S12" s="6" t="s">
        <v>93</v>
      </c>
      <c r="T12" s="6" t="s">
        <v>94</v>
      </c>
      <c r="U12" s="6" t="s">
        <v>95</v>
      </c>
      <c r="V12" s="6" t="s">
        <v>96</v>
      </c>
      <c r="W12" s="6" t="s">
        <v>97</v>
      </c>
    </row>
    <row r="13" s="6" customFormat="1" spans="2:7">
      <c r="B13" s="6" t="s">
        <v>98</v>
      </c>
      <c r="C13" s="6" t="s">
        <v>99</v>
      </c>
      <c r="D13" s="6" t="s">
        <v>100</v>
      </c>
      <c r="E13" s="6" t="s">
        <v>98</v>
      </c>
      <c r="F13" s="6" t="s">
        <v>99</v>
      </c>
      <c r="G13" s="6" t="s">
        <v>100</v>
      </c>
    </row>
    <row r="14" spans="1:23">
      <c r="A14" t="s">
        <v>101</v>
      </c>
      <c r="B14">
        <v>-0.338132</v>
      </c>
      <c r="C14">
        <v>2.814077</v>
      </c>
      <c r="D14">
        <v>-1.645232</v>
      </c>
      <c r="E14">
        <v>-2.05063</v>
      </c>
      <c r="F14">
        <v>22.54856</v>
      </c>
      <c r="G14">
        <v>-10.3344</v>
      </c>
      <c r="H14">
        <v>-0.052</v>
      </c>
      <c r="I14">
        <v>1.1028</v>
      </c>
      <c r="J14">
        <v>300</v>
      </c>
      <c r="K14">
        <v>-6.73965548858953</v>
      </c>
      <c r="L14">
        <v>87.1886224363897</v>
      </c>
      <c r="M14">
        <v>-375.138679029412</v>
      </c>
      <c r="N14">
        <v>698.404586493478</v>
      </c>
      <c r="O14">
        <v>-455.638944554371</v>
      </c>
      <c r="P14">
        <v>0.4644</v>
      </c>
      <c r="Q14">
        <v>3195</v>
      </c>
      <c r="R14">
        <v>3195</v>
      </c>
      <c r="T14" t="str">
        <f>A14</f>
        <v>G23_PILOT_001</v>
      </c>
      <c r="U14" t="str">
        <f>$B$6&amp;$A$1&amp;CHAR(10)&amp;$A$2&amp;B14&amp;CHAR(10)&amp;$A$3&amp;C14&amp;CHAR(10)&amp;$A$4&amp;D14&amp;CHAR(10)&amp;$A$5&amp;H14&amp;CHAR(10)&amp;$A$6&amp;I14&amp;CHAR(10)&amp;$A$7&amp;J14</f>
        <v>header  set_nozzle=0
set_gerr2=-0.338132
set_gerr1=2.814077
set_gerr0=-1.645232
set_s1=-0.052
set_s2=1.1028
set_tr=300</v>
      </c>
      <c r="V14" t="str">
        <f>$B$6&amp;$B$1&amp;O14&amp;CHAR(10)&amp;$B$2&amp;N14&amp;CHAR(10)&amp;$B$3&amp;M14&amp;CHAR(10)&amp;$B$4&amp;L14&amp;CHAR(10)&amp;$B$5&amp;K14&amp;CHAR(10)&amp;$B$7</f>
        <v>header  set_bp0=-455.638944554371
set_bp1=698.404586493478
set_bp2=-375.138679029412
set_bp3=87.1886224363897
set_bp4=-6.73965548858953
purge_time=120</v>
      </c>
      <c r="W14" t="str">
        <f>$B$6&amp;$A$8&amp;CHAR(10)&amp;$A$2&amp;E14&amp;CHAR(10)&amp;$A$3&amp;F14&amp;CHAR(10)&amp;$A$4&amp;G14&amp;CHAR(10)&amp;$A$5&amp;H14&amp;CHAR(10)&amp;$A$6&amp;I14&amp;CHAR(10)&amp;$A$7&amp;J14&amp;CHAR(10)&amp;$C$1&amp;P14&amp;CHAR(10)&amp;$C$2&amp;R14</f>
        <v>header  set_nozzle=1
set_gerr2=-2.05063
set_gerr1=22.54856
set_gerr0=-10.3344
set_s1=-0.052
set_s2=1.1028
set_tr=300
set_v1=0.4644
set_v2=3195</v>
      </c>
    </row>
    <row r="15" spans="1:23">
      <c r="A15" t="s">
        <v>102</v>
      </c>
      <c r="B15" s="7">
        <v>-0.130901</v>
      </c>
      <c r="C15" s="7">
        <v>1.543311</v>
      </c>
      <c r="D15" s="7">
        <v>-0.775613</v>
      </c>
      <c r="E15" s="7">
        <v>-1.80877</v>
      </c>
      <c r="F15" s="7">
        <v>20.54181</v>
      </c>
      <c r="G15" s="7">
        <v>-9.74048</v>
      </c>
      <c r="H15">
        <v>-0.052</v>
      </c>
      <c r="I15">
        <v>1.1028</v>
      </c>
      <c r="J15" s="7">
        <v>300</v>
      </c>
      <c r="K15" s="7">
        <v>-8.7615</v>
      </c>
      <c r="L15" s="7">
        <v>113.34</v>
      </c>
      <c r="M15" s="7">
        <v>-487.68</v>
      </c>
      <c r="N15" s="7">
        <v>907.93</v>
      </c>
      <c r="O15" s="7">
        <v>-592.33</v>
      </c>
      <c r="P15">
        <v>0.4644</v>
      </c>
      <c r="Q15">
        <v>3195</v>
      </c>
      <c r="R15">
        <v>3195</v>
      </c>
      <c r="T15" t="str">
        <f t="shared" ref="T15:T22" si="0">A15</f>
        <v>工程样机</v>
      </c>
      <c r="U15" t="str">
        <f t="shared" ref="U15:U22" si="1">$B$6&amp;$A$1&amp;CHAR(10)&amp;$A$2&amp;B15&amp;CHAR(10)&amp;$A$3&amp;C15&amp;CHAR(10)&amp;$A$4&amp;D15&amp;CHAR(10)&amp;$A$5&amp;H15&amp;CHAR(10)&amp;$A$6&amp;I15&amp;CHAR(10)&amp;$A$7&amp;J15</f>
        <v>header  set_nozzle=0
set_gerr2=-0.130901
set_gerr1=1.543311
set_gerr0=-0.775613
set_s1=-0.052
set_s2=1.1028
set_tr=300</v>
      </c>
      <c r="V15" t="str">
        <f t="shared" ref="V15:V22" si="2">$B$6&amp;$B$1&amp;O15&amp;CHAR(10)&amp;$B$2&amp;N15&amp;CHAR(10)&amp;$B$3&amp;M15&amp;CHAR(10)&amp;$B$4&amp;L15&amp;CHAR(10)&amp;$B$5&amp;K15&amp;CHAR(10)&amp;$B$7</f>
        <v>header  set_bp0=-592.33
set_bp1=907.93
set_bp2=-487.68
set_bp3=113.34
set_bp4=-8.7615
purge_time=120</v>
      </c>
      <c r="W15" t="str">
        <f t="shared" ref="W15:W22" si="3">$B$6&amp;$A$8&amp;CHAR(10)&amp;$A$2&amp;E15&amp;CHAR(10)&amp;$A$3&amp;F15&amp;CHAR(10)&amp;$A$4&amp;G15&amp;CHAR(10)&amp;$A$5&amp;H15&amp;CHAR(10)&amp;$A$6&amp;I15&amp;CHAR(10)&amp;$A$7&amp;J15&amp;CHAR(10)&amp;$C$1&amp;P15&amp;CHAR(10)&amp;$C$2&amp;R15</f>
        <v>header  set_nozzle=1
set_gerr2=-1.80877
set_gerr1=20.54181
set_gerr0=-9.74048
set_s1=-0.052
set_s2=1.1028
set_tr=300
set_v1=0.4644
set_v2=3195</v>
      </c>
    </row>
    <row r="16" spans="1:23">
      <c r="A16" t="s">
        <v>103</v>
      </c>
      <c r="B16">
        <v>-0.1854216250807</v>
      </c>
      <c r="C16">
        <v>1.9169680267538</v>
      </c>
      <c r="D16">
        <v>-1.40999305747901</v>
      </c>
      <c r="E16">
        <v>-4.56576101906463</v>
      </c>
      <c r="F16">
        <v>44.3044554485287</v>
      </c>
      <c r="G16">
        <v>-57.4360388120656</v>
      </c>
      <c r="H16">
        <v>-0.052</v>
      </c>
      <c r="I16">
        <v>1.1028</v>
      </c>
      <c r="J16" s="7">
        <v>300</v>
      </c>
      <c r="K16">
        <v>-11.2516489823773</v>
      </c>
      <c r="L16">
        <v>154.407451582234</v>
      </c>
      <c r="M16">
        <v>-725.114797601548</v>
      </c>
      <c r="N16">
        <v>1478.81013841609</v>
      </c>
      <c r="O16">
        <v>-1080.90411587727</v>
      </c>
      <c r="P16">
        <v>0.4644</v>
      </c>
      <c r="Q16">
        <v>3186</v>
      </c>
      <c r="R16">
        <v>3170</v>
      </c>
      <c r="S16" t="s">
        <v>104</v>
      </c>
      <c r="T16" t="str">
        <f t="shared" si="0"/>
        <v>G23_PILOT_002</v>
      </c>
      <c r="U16" t="str">
        <f t="shared" si="1"/>
        <v>header  set_nozzle=0
set_gerr2=-0.1854216250807
set_gerr1=1.9169680267538
set_gerr0=-1.40999305747901
set_s1=-0.052
set_s2=1.1028
set_tr=300</v>
      </c>
      <c r="V16" t="str">
        <f t="shared" si="2"/>
        <v>header  set_bp0=-1080.90411587727
set_bp1=1478.81013841609
set_bp2=-725.114797601548
set_bp3=154.407451582234
set_bp4=-11.2516489823773
purge_time=120</v>
      </c>
      <c r="W16" t="str">
        <f t="shared" si="3"/>
        <v>header  set_nozzle=1
set_gerr2=-4.56576101906463
set_gerr1=44.3044554485287
set_gerr0=-57.4360388120656
set_s1=-0.052
set_s2=1.1028
set_tr=300
set_v1=0.4644
set_v2=3170</v>
      </c>
    </row>
    <row r="17" spans="1:23">
      <c r="A17" t="s">
        <v>105</v>
      </c>
      <c r="B17">
        <v>-0.480905948551373</v>
      </c>
      <c r="C17">
        <v>4.65347670238517</v>
      </c>
      <c r="D17">
        <v>-1.49310550768043</v>
      </c>
      <c r="E17">
        <v>-4.32904258610302</v>
      </c>
      <c r="F17">
        <v>42.0707378762887</v>
      </c>
      <c r="G17">
        <v>-51.5518589303579</v>
      </c>
      <c r="H17">
        <v>-0.052</v>
      </c>
      <c r="I17">
        <v>1.1028</v>
      </c>
      <c r="J17" s="7">
        <v>300</v>
      </c>
      <c r="K17">
        <v>-14.1061830111192</v>
      </c>
      <c r="L17">
        <v>195.661233100399</v>
      </c>
      <c r="M17">
        <v>-938.625579471547</v>
      </c>
      <c r="N17">
        <v>1947.96456055809</v>
      </c>
      <c r="O17">
        <v>-1453.5292052402</v>
      </c>
      <c r="P17">
        <v>0.4644</v>
      </c>
      <c r="Q17">
        <v>3189</v>
      </c>
      <c r="R17">
        <v>3189</v>
      </c>
      <c r="T17" t="str">
        <f t="shared" si="0"/>
        <v>G23_PILOT_003</v>
      </c>
      <c r="U17" t="str">
        <f t="shared" si="1"/>
        <v>header  set_nozzle=0
set_gerr2=-0.480905948551373
set_gerr1=4.65347670238517
set_gerr0=-1.49310550768043
set_s1=-0.052
set_s2=1.1028
set_tr=300</v>
      </c>
      <c r="V17" t="str">
        <f t="shared" si="2"/>
        <v>header  set_bp0=-1453.5292052402
set_bp1=1947.96456055809
set_bp2=-938.625579471547
set_bp3=195.661233100399
set_bp4=-14.1061830111192
purge_time=120</v>
      </c>
      <c r="W17" t="str">
        <f t="shared" si="3"/>
        <v>header  set_nozzle=1
set_gerr2=-4.32904258610302
set_gerr1=42.0707378762887
set_gerr0=-51.5518589303579
set_s1=-0.052
set_s2=1.1028
set_tr=300
set_v1=0.4644
set_v2=3189</v>
      </c>
    </row>
    <row r="18" spans="1:23">
      <c r="A18" t="s">
        <v>106</v>
      </c>
      <c r="B18">
        <v>-0.619384839581601</v>
      </c>
      <c r="C18">
        <v>6.00346336710397</v>
      </c>
      <c r="D18">
        <v>-2.33307265026052</v>
      </c>
      <c r="E18">
        <v>-2.05063</v>
      </c>
      <c r="F18">
        <v>22.54856</v>
      </c>
      <c r="G18">
        <v>-10.3344</v>
      </c>
      <c r="H18">
        <v>-0.052</v>
      </c>
      <c r="I18">
        <v>1.1028</v>
      </c>
      <c r="J18">
        <v>300</v>
      </c>
      <c r="K18">
        <v>-5.51095019188687</v>
      </c>
      <c r="L18">
        <v>68.6443991098254</v>
      </c>
      <c r="M18">
        <v>-259.41613826665</v>
      </c>
      <c r="N18">
        <v>409.729450057385</v>
      </c>
      <c r="O18">
        <v>-208.778662860889</v>
      </c>
      <c r="P18">
        <v>0.4644</v>
      </c>
      <c r="Q18">
        <v>3195</v>
      </c>
      <c r="R18">
        <v>3195</v>
      </c>
      <c r="T18" t="str">
        <f t="shared" si="0"/>
        <v>G23_PILOT_001_改喷嘴</v>
      </c>
      <c r="U18" t="str">
        <f t="shared" si="1"/>
        <v>header  set_nozzle=0
set_gerr2=-0.619384839581601
set_gerr1=6.00346336710397
set_gerr0=-2.33307265026052
set_s1=-0.052
set_s2=1.1028
set_tr=300</v>
      </c>
      <c r="V18" t="str">
        <f t="shared" si="2"/>
        <v>header  set_bp0=-208.778662860889
set_bp1=409.729450057385
set_bp2=-259.41613826665
set_bp3=68.6443991098254
set_bp4=-5.51095019188687
purge_time=120</v>
      </c>
      <c r="W18" t="str">
        <f t="shared" si="3"/>
        <v>header  set_nozzle=1
set_gerr2=-2.05063
set_gerr1=22.54856
set_gerr0=-10.3344
set_s1=-0.052
set_s2=1.1028
set_tr=300
set_v1=0.4644
set_v2=3195</v>
      </c>
    </row>
    <row r="19" spans="1:23">
      <c r="A19" t="s">
        <v>107</v>
      </c>
      <c r="B19">
        <v>-0.328626755835232</v>
      </c>
      <c r="C19">
        <v>3.31414433748488</v>
      </c>
      <c r="D19">
        <v>-0.832538239980768</v>
      </c>
      <c r="E19">
        <v>-4.56576101906463</v>
      </c>
      <c r="F19">
        <v>44.3044554485287</v>
      </c>
      <c r="G19">
        <v>-57.4360388120656</v>
      </c>
      <c r="H19">
        <v>-0.052</v>
      </c>
      <c r="I19">
        <v>1.1028</v>
      </c>
      <c r="J19">
        <v>300</v>
      </c>
      <c r="K19">
        <v>-5.17910969622423</v>
      </c>
      <c r="L19">
        <v>63.126969122864</v>
      </c>
      <c r="M19">
        <v>-231.015593518699</v>
      </c>
      <c r="N19">
        <v>353.78002402822</v>
      </c>
      <c r="O19">
        <v>-174.12568249368</v>
      </c>
      <c r="P19">
        <v>0.4644</v>
      </c>
      <c r="Q19">
        <v>3186.451709</v>
      </c>
      <c r="R19">
        <v>3186.451709</v>
      </c>
      <c r="T19" t="str">
        <f t="shared" si="0"/>
        <v>G23_PILOT_002_改喷嘴</v>
      </c>
      <c r="U19" t="str">
        <f t="shared" si="1"/>
        <v>header  set_nozzle=0
set_gerr2=-0.328626755835232
set_gerr1=3.31414433748488
set_gerr0=-0.832538239980768
set_s1=-0.052
set_s2=1.1028
set_tr=300</v>
      </c>
      <c r="V19" t="str">
        <f t="shared" si="2"/>
        <v>header  set_bp0=-174.12568249368
set_bp1=353.78002402822
set_bp2=-231.015593518699
set_bp3=63.126969122864
set_bp4=-5.17910969622423
purge_time=120</v>
      </c>
      <c r="W19" t="str">
        <f t="shared" si="3"/>
        <v>header  set_nozzle=1
set_gerr2=-4.56576101906463
set_gerr1=44.3044554485287
set_gerr0=-57.4360388120656
set_s1=-0.052
set_s2=1.1028
set_tr=300
set_v1=0.4644
set_v2=3186.451709</v>
      </c>
    </row>
    <row r="20" spans="1:23">
      <c r="A20" t="s">
        <v>108</v>
      </c>
      <c r="B20">
        <v>-0.394323788988331</v>
      </c>
      <c r="C20">
        <v>3.76040659928571</v>
      </c>
      <c r="D20">
        <v>-1.56521407002074</v>
      </c>
      <c r="E20">
        <v>-4.44863451897649</v>
      </c>
      <c r="F20">
        <v>43.1960207017044</v>
      </c>
      <c r="G20">
        <v>-53.9063435518526</v>
      </c>
      <c r="H20">
        <v>-0.052</v>
      </c>
      <c r="I20">
        <v>1.1028</v>
      </c>
      <c r="J20">
        <v>300</v>
      </c>
      <c r="K20">
        <v>-4.99454374301303</v>
      </c>
      <c r="L20">
        <v>61.8417356214756</v>
      </c>
      <c r="M20">
        <v>-231.519626114067</v>
      </c>
      <c r="N20">
        <v>360.830904566161</v>
      </c>
      <c r="O20">
        <v>-182.363556503213</v>
      </c>
      <c r="P20">
        <v>0.4644</v>
      </c>
      <c r="Q20">
        <v>3153.720168</v>
      </c>
      <c r="R20">
        <v>3153.720168</v>
      </c>
      <c r="T20" t="str">
        <f t="shared" si="0"/>
        <v>G23_PILOT_004</v>
      </c>
      <c r="U20" t="str">
        <f t="shared" si="1"/>
        <v>header  set_nozzle=0
set_gerr2=-0.394323788988331
set_gerr1=3.76040659928571
set_gerr0=-1.56521407002074
set_s1=-0.052
set_s2=1.1028
set_tr=300</v>
      </c>
      <c r="V20" t="str">
        <f t="shared" si="2"/>
        <v>header  set_bp0=-182.363556503213
set_bp1=360.830904566161
set_bp2=-231.519626114067
set_bp3=61.8417356214756
set_bp4=-4.99454374301303
purge_time=120</v>
      </c>
      <c r="W20" t="str">
        <f t="shared" si="3"/>
        <v>header  set_nozzle=1
set_gerr2=-4.44863451897649
set_gerr1=43.1960207017044
set_gerr0=-53.9063435518526
set_s1=-0.052
set_s2=1.1028
set_tr=300
set_v1=0.4644
set_v2=3153.720168</v>
      </c>
    </row>
    <row r="21" spans="1:23">
      <c r="A21" t="s">
        <v>109</v>
      </c>
      <c r="B21">
        <v>-0.304156608089993</v>
      </c>
      <c r="C21">
        <v>3.37550362050009</v>
      </c>
      <c r="D21">
        <v>-1.41381991991565</v>
      </c>
      <c r="E21">
        <v>-2.6703658876088</v>
      </c>
      <c r="F21">
        <v>27.2516946445483</v>
      </c>
      <c r="G21">
        <v>-19.7944081455669</v>
      </c>
      <c r="H21">
        <v>-0.052</v>
      </c>
      <c r="I21">
        <v>1.1028</v>
      </c>
      <c r="J21">
        <v>300</v>
      </c>
      <c r="K21">
        <v>-5.17598489451577</v>
      </c>
      <c r="L21">
        <v>63.5675500144208</v>
      </c>
      <c r="M21">
        <v>-236.951963487812</v>
      </c>
      <c r="N21">
        <v>368.0917493855</v>
      </c>
      <c r="O21">
        <v>-185.68923944104</v>
      </c>
      <c r="P21">
        <v>0.4644</v>
      </c>
      <c r="Q21">
        <v>3170.296886</v>
      </c>
      <c r="R21">
        <v>3170.296886</v>
      </c>
      <c r="T21" t="str">
        <f t="shared" si="0"/>
        <v>G23_PILOT_006</v>
      </c>
      <c r="U21" t="str">
        <f t="shared" si="1"/>
        <v>header  set_nozzle=0
set_gerr2=-0.304156608089993
set_gerr1=3.37550362050009
set_gerr0=-1.41381991991565
set_s1=-0.052
set_s2=1.1028
set_tr=300</v>
      </c>
      <c r="V21" t="str">
        <f t="shared" si="2"/>
        <v>header  set_bp0=-185.68923944104
set_bp1=368.0917493855
set_bp2=-236.951963487812
set_bp3=63.5675500144208
set_bp4=-5.17598489451577
purge_time=120</v>
      </c>
      <c r="W21" t="str">
        <f t="shared" si="3"/>
        <v>header  set_nozzle=1
set_gerr2=-2.6703658876088
set_gerr1=27.2516946445483
set_gerr0=-19.7944081455669
set_s1=-0.052
set_s2=1.1028
set_tr=300
set_v1=0.4644
set_v2=3170.296886</v>
      </c>
    </row>
    <row r="22" spans="1:23">
      <c r="A22" t="s">
        <v>110</v>
      </c>
      <c r="B22">
        <v>-0.240139283537276</v>
      </c>
      <c r="C22">
        <v>2.9093504149719</v>
      </c>
      <c r="D22">
        <v>-0.517189135924653</v>
      </c>
      <c r="E22">
        <v>-2.4487720018934</v>
      </c>
      <c r="F22">
        <v>25.3110623290802</v>
      </c>
      <c r="G22">
        <v>-15.9227067368693</v>
      </c>
      <c r="H22">
        <v>-0.052</v>
      </c>
      <c r="I22">
        <v>1.1028</v>
      </c>
      <c r="J22">
        <v>300</v>
      </c>
      <c r="K22">
        <v>-5.21239892175003</v>
      </c>
      <c r="L22">
        <v>63.8438030364117</v>
      </c>
      <c r="M22">
        <v>-237.580612005222</v>
      </c>
      <c r="N22">
        <v>368.495099595798</v>
      </c>
      <c r="O22">
        <v>-186.177106780405</v>
      </c>
      <c r="P22">
        <v>0.4644</v>
      </c>
      <c r="Q22">
        <v>3143.241576</v>
      </c>
      <c r="R22">
        <v>3143.241576</v>
      </c>
      <c r="T22" t="str">
        <f t="shared" si="0"/>
        <v>G23_PILOT_008</v>
      </c>
      <c r="U22" t="str">
        <f t="shared" si="1"/>
        <v>header  set_nozzle=0
set_gerr2=-0.240139283537276
set_gerr1=2.9093504149719
set_gerr0=-0.517189135924653
set_s1=-0.052
set_s2=1.1028
set_tr=300</v>
      </c>
      <c r="V22" t="str">
        <f t="shared" si="2"/>
        <v>header  set_bp0=-186.177106780405
set_bp1=368.495099595798
set_bp2=-237.580612005222
set_bp3=63.8438030364117
set_bp4=-5.21239892175003
purge_time=120</v>
      </c>
      <c r="W22" t="str">
        <f t="shared" si="3"/>
        <v>header  set_nozzle=1
set_gerr2=-2.4487720018934
set_gerr1=25.3110623290802
set_gerr0=-15.9227067368693
set_s1=-0.052
set_s2=1.1028
set_tr=300
set_v1=0.4644
set_v2=3143.241576</v>
      </c>
    </row>
    <row r="23" spans="1:23">
      <c r="A23" t="s">
        <v>111</v>
      </c>
      <c r="B23">
        <v>-0.162104973520345</v>
      </c>
      <c r="C23">
        <v>2.49307782009197</v>
      </c>
      <c r="D23">
        <v>-0.182867541789473</v>
      </c>
      <c r="E23">
        <v>-2.61760908724672</v>
      </c>
      <c r="F23">
        <v>26.5241027627527</v>
      </c>
      <c r="G23">
        <v>-18.4374576310026</v>
      </c>
      <c r="H23">
        <v>-0.052</v>
      </c>
      <c r="I23">
        <v>1.1028</v>
      </c>
      <c r="J23">
        <v>300</v>
      </c>
      <c r="K23">
        <v>-5.21271572699199</v>
      </c>
      <c r="L23">
        <v>64.0085842919671</v>
      </c>
      <c r="M23">
        <v>-238.311866257382</v>
      </c>
      <c r="N23">
        <v>369.927254766791</v>
      </c>
      <c r="O23">
        <v>-185.197701170346</v>
      </c>
      <c r="P23">
        <v>0.4644</v>
      </c>
      <c r="Q23">
        <v>3182.74</v>
      </c>
      <c r="T23" t="str">
        <f t="shared" ref="T23:T42" si="4">A23</f>
        <v>G23_PILOT_009</v>
      </c>
      <c r="U23" t="str">
        <f t="shared" ref="U23:U42" si="5">$B$6&amp;$A$1&amp;CHAR(10)&amp;$A$2&amp;B23&amp;CHAR(10)&amp;$A$3&amp;C23&amp;CHAR(10)&amp;$A$4&amp;D23&amp;CHAR(10)&amp;$A$5&amp;H23&amp;CHAR(10)&amp;$A$6&amp;I23&amp;CHAR(10)&amp;$A$7&amp;J23</f>
        <v>header  set_nozzle=0
set_gerr2=-0.162104973520345
set_gerr1=2.49307782009197
set_gerr0=-0.182867541789473
set_s1=-0.052
set_s2=1.1028
set_tr=300</v>
      </c>
      <c r="V23" t="str">
        <f t="shared" ref="V23:V42" si="6">$B$6&amp;$B$1&amp;O23&amp;CHAR(10)&amp;$B$2&amp;N23&amp;CHAR(10)&amp;$B$3&amp;M23&amp;CHAR(10)&amp;$B$4&amp;L23&amp;CHAR(10)&amp;$B$5&amp;K23&amp;CHAR(10)&amp;$B$7</f>
        <v>header  set_bp0=-185.197701170346
set_bp1=369.927254766791
set_bp2=-238.311866257382
set_bp3=64.0085842919671
set_bp4=-5.21271572699199
purge_time=120</v>
      </c>
      <c r="W23" t="str">
        <f t="shared" ref="W23:W42" si="7">$B$6&amp;$A$8&amp;CHAR(10)&amp;$A$2&amp;E23&amp;CHAR(10)&amp;$A$3&amp;F23&amp;CHAR(10)&amp;$A$4&amp;G23&amp;CHAR(10)&amp;$A$5&amp;H23&amp;CHAR(10)&amp;$A$6&amp;I23&amp;CHAR(10)&amp;$A$7&amp;J23&amp;CHAR(10)&amp;$C$1&amp;P23&amp;CHAR(10)&amp;$C$2&amp;R23</f>
        <v>header  set_nozzle=1
set_gerr2=-2.61760908724672
set_gerr1=26.5241027627527
set_gerr0=-18.4374576310026
set_s1=-0.052
set_s2=1.1028
set_tr=300
set_v1=0.4644
set_v2=</v>
      </c>
    </row>
    <row r="24" spans="1:23">
      <c r="A24" t="s">
        <v>112</v>
      </c>
      <c r="B24">
        <v>-0.268030593011387</v>
      </c>
      <c r="C24">
        <v>2.91739685247398</v>
      </c>
      <c r="D24">
        <v>-1.16602991413393</v>
      </c>
      <c r="E24">
        <v>-2.9231487202459</v>
      </c>
      <c r="F24">
        <v>27.6312327357239</v>
      </c>
      <c r="G24">
        <v>-21.4508856025123</v>
      </c>
      <c r="H24">
        <v>-0.052</v>
      </c>
      <c r="I24">
        <v>1.1028</v>
      </c>
      <c r="J24">
        <v>300</v>
      </c>
      <c r="K24">
        <v>-5.41176897407699</v>
      </c>
      <c r="L24">
        <v>66.1134699426362</v>
      </c>
      <c r="M24">
        <v>-246.841263466256</v>
      </c>
      <c r="N24">
        <v>384.936934330236</v>
      </c>
      <c r="O24">
        <v>-196.269731305022</v>
      </c>
      <c r="P24">
        <v>0.4644</v>
      </c>
      <c r="Q24">
        <v>3147.05</v>
      </c>
      <c r="R24">
        <v>3180.118</v>
      </c>
      <c r="T24" t="str">
        <f t="shared" si="4"/>
        <v>G23_PILOT_010</v>
      </c>
      <c r="U24" t="str">
        <f t="shared" si="5"/>
        <v>header  set_nozzle=0
set_gerr2=-0.268030593011387
set_gerr1=2.91739685247398
set_gerr0=-1.16602991413393
set_s1=-0.052
set_s2=1.1028
set_tr=300</v>
      </c>
      <c r="V24" t="str">
        <f t="shared" si="6"/>
        <v>header  set_bp0=-196.269731305022
set_bp1=384.936934330236
set_bp2=-246.841263466256
set_bp3=66.1134699426362
set_bp4=-5.41176897407699
purge_time=120</v>
      </c>
      <c r="W24" t="str">
        <f t="shared" si="7"/>
        <v>header  set_nozzle=1
set_gerr2=-2.9231487202459
set_gerr1=27.6312327357239
set_gerr0=-21.4508856025123
set_s1=-0.052
set_s2=1.1028
set_tr=300
set_v1=0.4644
set_v2=3180.118</v>
      </c>
    </row>
    <row r="25" spans="1:23">
      <c r="A25" t="s">
        <v>113</v>
      </c>
      <c r="B25">
        <v>-0.237658341020965</v>
      </c>
      <c r="C25">
        <v>2.72638366442019</v>
      </c>
      <c r="D25">
        <v>-1.05277197434582</v>
      </c>
      <c r="E25">
        <v>-2.82103391696239</v>
      </c>
      <c r="F25">
        <v>26.9965317353026</v>
      </c>
      <c r="G25">
        <v>-20.8261620315637</v>
      </c>
      <c r="H25">
        <v>-0.052</v>
      </c>
      <c r="I25">
        <v>1.1028</v>
      </c>
      <c r="J25">
        <v>300</v>
      </c>
      <c r="K25">
        <v>-5.52762785187605</v>
      </c>
      <c r="L25">
        <v>67.4117037523037</v>
      </c>
      <c r="M25">
        <v>-251.967610780777</v>
      </c>
      <c r="N25">
        <v>393.245156165665</v>
      </c>
      <c r="O25">
        <v>-201.034391832692</v>
      </c>
      <c r="P25">
        <v>0.4644</v>
      </c>
      <c r="Q25">
        <v>3069.63</v>
      </c>
      <c r="R25">
        <v>3186.617</v>
      </c>
      <c r="T25" t="str">
        <f t="shared" si="4"/>
        <v>G23_PILOT_011</v>
      </c>
      <c r="U25" t="str">
        <f t="shared" si="5"/>
        <v>header  set_nozzle=0
set_gerr2=-0.237658341020965
set_gerr1=2.72638366442019
set_gerr0=-1.05277197434582
set_s1=-0.052
set_s2=1.1028
set_tr=300</v>
      </c>
      <c r="V25" t="str">
        <f t="shared" si="6"/>
        <v>header  set_bp0=-201.034391832692
set_bp1=393.245156165665
set_bp2=-251.967610780777
set_bp3=67.4117037523037
set_bp4=-5.52762785187605
purge_time=120</v>
      </c>
      <c r="W25" t="str">
        <f t="shared" si="7"/>
        <v>header  set_nozzle=1
set_gerr2=-2.82103391696239
set_gerr1=26.9965317353026
set_gerr0=-20.8261620315637
set_s1=-0.052
set_s2=1.1028
set_tr=300
set_v1=0.4644
set_v2=3186.617</v>
      </c>
    </row>
    <row r="26" spans="1:23">
      <c r="A26" t="s">
        <v>114</v>
      </c>
      <c r="B26">
        <v>-0.25096937378252</v>
      </c>
      <c r="C26">
        <v>2.84120083528348</v>
      </c>
      <c r="D26">
        <v>-1.14682154899529</v>
      </c>
      <c r="E26">
        <v>-3.10603448253075</v>
      </c>
      <c r="F26">
        <v>29.5319601805491</v>
      </c>
      <c r="G26">
        <v>-26.1875324193122</v>
      </c>
      <c r="H26">
        <v>-0.052</v>
      </c>
      <c r="I26">
        <v>1.1028</v>
      </c>
      <c r="J26">
        <v>300</v>
      </c>
      <c r="K26">
        <v>-5.49210164941302</v>
      </c>
      <c r="L26">
        <v>67.1996973911382</v>
      </c>
      <c r="M26">
        <v>-251.75492649646</v>
      </c>
      <c r="N26">
        <v>394.180416654135</v>
      </c>
      <c r="O26">
        <v>-202.294363627341</v>
      </c>
      <c r="P26">
        <v>0.4644</v>
      </c>
      <c r="Q26">
        <v>3161.85</v>
      </c>
      <c r="R26">
        <v>3183.263</v>
      </c>
      <c r="T26" t="str">
        <f t="shared" si="4"/>
        <v>G23_PILOT_012</v>
      </c>
      <c r="U26" t="str">
        <f t="shared" si="5"/>
        <v>header  set_nozzle=0
set_gerr2=-0.25096937378252
set_gerr1=2.84120083528348
set_gerr0=-1.14682154899529
set_s1=-0.052
set_s2=1.1028
set_tr=300</v>
      </c>
      <c r="V26" t="str">
        <f t="shared" si="6"/>
        <v>header  set_bp0=-202.294363627341
set_bp1=394.180416654135
set_bp2=-251.75492649646
set_bp3=67.1996973911382
set_bp4=-5.49210164941302
purge_time=120</v>
      </c>
      <c r="W26" t="str">
        <f t="shared" si="7"/>
        <v>header  set_nozzle=1
set_gerr2=-3.10603448253075
set_gerr1=29.5319601805491
set_gerr0=-26.1875324193122
set_s1=-0.052
set_s2=1.1028
set_tr=300
set_v1=0.4644
set_v2=3183.263</v>
      </c>
    </row>
    <row r="27" spans="1:23">
      <c r="A27" t="s">
        <v>115</v>
      </c>
      <c r="B27">
        <v>-0.267886103271512</v>
      </c>
      <c r="C27">
        <v>2.90421164360868</v>
      </c>
      <c r="D27">
        <v>-1.18401868982234</v>
      </c>
      <c r="E27">
        <v>-2.91235379342406</v>
      </c>
      <c r="F27">
        <v>27.3867386576567</v>
      </c>
      <c r="G27">
        <v>-20.9552558960522</v>
      </c>
      <c r="H27">
        <v>-0.052</v>
      </c>
      <c r="I27">
        <v>1.1028</v>
      </c>
      <c r="J27">
        <v>300</v>
      </c>
      <c r="K27">
        <v>-5.42933995466606</v>
      </c>
      <c r="L27">
        <v>66.4175957451387</v>
      </c>
      <c r="M27">
        <v>-248.178766475656</v>
      </c>
      <c r="N27">
        <v>387.479004693136</v>
      </c>
      <c r="O27">
        <v>-198.125512343751</v>
      </c>
      <c r="P27">
        <v>0.4644</v>
      </c>
      <c r="Q27">
        <v>3090.23</v>
      </c>
      <c r="R27">
        <v>3181.185</v>
      </c>
      <c r="T27" t="str">
        <f t="shared" si="4"/>
        <v>G23_PILOT_013</v>
      </c>
      <c r="U27" t="str">
        <f t="shared" si="5"/>
        <v>header  set_nozzle=0
set_gerr2=-0.267886103271512
set_gerr1=2.90421164360868
set_gerr0=-1.18401868982234
set_s1=-0.052
set_s2=1.1028
set_tr=300</v>
      </c>
      <c r="V27" t="str">
        <f t="shared" si="6"/>
        <v>header  set_bp0=-198.125512343751
set_bp1=387.479004693136
set_bp2=-248.178766475656
set_bp3=66.4175957451387
set_bp4=-5.42933995466606
purge_time=120</v>
      </c>
      <c r="W27" t="str">
        <f t="shared" si="7"/>
        <v>header  set_nozzle=1
set_gerr2=-2.91235379342406
set_gerr1=27.3867386576567
set_gerr0=-20.9552558960522
set_s1=-0.052
set_s2=1.1028
set_tr=300
set_v1=0.4644
set_v2=3181.185</v>
      </c>
    </row>
    <row r="28" spans="1:23">
      <c r="A28" t="s">
        <v>116</v>
      </c>
      <c r="B28">
        <v>-0.246226692928559</v>
      </c>
      <c r="C28">
        <v>2.78236033148645</v>
      </c>
      <c r="D28">
        <v>-1.1247196750974</v>
      </c>
      <c r="E28">
        <v>-1.46951391763077</v>
      </c>
      <c r="F28">
        <v>18.2832991485617</v>
      </c>
      <c r="G28">
        <v>-2.80489398414312</v>
      </c>
      <c r="H28">
        <v>-0.052</v>
      </c>
      <c r="I28">
        <v>1.1028</v>
      </c>
      <c r="J28">
        <v>300</v>
      </c>
      <c r="K28">
        <v>-5.44524722511112</v>
      </c>
      <c r="L28">
        <v>66.618164058088</v>
      </c>
      <c r="M28">
        <v>-249.656669785784</v>
      </c>
      <c r="N28">
        <v>391.072225053962</v>
      </c>
      <c r="O28">
        <v>-200.65324570912</v>
      </c>
      <c r="P28">
        <v>0.4644</v>
      </c>
      <c r="Q28">
        <v>3163.38</v>
      </c>
      <c r="T28" t="str">
        <f t="shared" si="4"/>
        <v>G23_PILOT_014</v>
      </c>
      <c r="U28" t="str">
        <f t="shared" si="5"/>
        <v>header  set_nozzle=0
set_gerr2=-0.246226692928559
set_gerr1=2.78236033148645
set_gerr0=-1.1247196750974
set_s1=-0.052
set_s2=1.1028
set_tr=300</v>
      </c>
      <c r="V28" t="str">
        <f t="shared" si="6"/>
        <v>header  set_bp0=-200.65324570912
set_bp1=391.072225053962
set_bp2=-249.656669785784
set_bp3=66.618164058088
set_bp4=-5.44524722511112
purge_time=120</v>
      </c>
      <c r="W28" t="str">
        <f t="shared" si="7"/>
        <v>header  set_nozzle=1
set_gerr2=-1.46951391763077
set_gerr1=18.2832991485617
set_gerr0=-2.80489398414312
set_s1=-0.052
set_s2=1.1028
set_tr=300
set_v1=0.4644
set_v2=</v>
      </c>
    </row>
    <row r="29" spans="1:23">
      <c r="A29" s="4" t="s">
        <v>117</v>
      </c>
      <c r="B29">
        <v>-0.291021958878292</v>
      </c>
      <c r="C29">
        <v>3.09355215057973</v>
      </c>
      <c r="D29">
        <v>-1.6192786377078</v>
      </c>
      <c r="E29">
        <v>-2.91182546599519</v>
      </c>
      <c r="F29">
        <v>28.5031064665782</v>
      </c>
      <c r="G29">
        <v>-24.4803333556006</v>
      </c>
      <c r="H29">
        <v>-0.052</v>
      </c>
      <c r="I29">
        <v>1.1028</v>
      </c>
      <c r="J29">
        <v>300</v>
      </c>
      <c r="K29">
        <v>-5.60000207457072</v>
      </c>
      <c r="L29">
        <v>68.4198873320727</v>
      </c>
      <c r="M29">
        <v>-256.014883832627</v>
      </c>
      <c r="N29">
        <v>398.42159263422</v>
      </c>
      <c r="O29">
        <v>-203.745098866508</v>
      </c>
      <c r="P29">
        <v>0.4644</v>
      </c>
      <c r="Q29">
        <v>3192.196242</v>
      </c>
      <c r="T29" t="str">
        <f t="shared" si="4"/>
        <v>G23_PILOT_015</v>
      </c>
      <c r="U29" t="str">
        <f t="shared" si="5"/>
        <v>header  set_nozzle=0
set_gerr2=-0.291021958878292
set_gerr1=3.09355215057973
set_gerr0=-1.6192786377078
set_s1=-0.052
set_s2=1.1028
set_tr=300</v>
      </c>
      <c r="V29" t="str">
        <f t="shared" si="6"/>
        <v>header  set_bp0=-203.745098866508
set_bp1=398.42159263422
set_bp2=-256.014883832627
set_bp3=68.4198873320727
set_bp4=-5.60000207457072
purge_time=120</v>
      </c>
      <c r="W29" t="str">
        <f t="shared" si="7"/>
        <v>header  set_nozzle=1
set_gerr2=-2.91182546599519
set_gerr1=28.5031064665782
set_gerr0=-24.4803333556006
set_s1=-0.052
set_s2=1.1028
set_tr=300
set_v1=0.4644
set_v2=</v>
      </c>
    </row>
    <row r="30" spans="1:23">
      <c r="A30" s="4" t="s">
        <v>118</v>
      </c>
      <c r="B30">
        <v>-0.272008444936042</v>
      </c>
      <c r="C30">
        <v>2.91155015839049</v>
      </c>
      <c r="D30">
        <v>-1.20939717900983</v>
      </c>
      <c r="E30">
        <v>-2.84429262003914</v>
      </c>
      <c r="F30">
        <v>27.3962176483674</v>
      </c>
      <c r="G30">
        <v>-22.0158611121113</v>
      </c>
      <c r="H30">
        <v>-0.052</v>
      </c>
      <c r="I30">
        <v>1.1028</v>
      </c>
      <c r="J30">
        <v>300</v>
      </c>
      <c r="K30">
        <v>-5.55583918123784</v>
      </c>
      <c r="L30">
        <v>68.1613300010565</v>
      </c>
      <c r="M30">
        <v>-255.685245982191</v>
      </c>
      <c r="N30">
        <v>399.523490989419</v>
      </c>
      <c r="O30">
        <v>-205.373661182744</v>
      </c>
      <c r="P30">
        <v>0.4644</v>
      </c>
      <c r="Q30">
        <v>3194.428933</v>
      </c>
      <c r="T30" t="str">
        <f t="shared" si="4"/>
        <v>G23_PILOT_016</v>
      </c>
      <c r="U30" t="str">
        <f t="shared" si="5"/>
        <v>header  set_nozzle=0
set_gerr2=-0.272008444936042
set_gerr1=2.91155015839049
set_gerr0=-1.20939717900983
set_s1=-0.052
set_s2=1.1028
set_tr=300</v>
      </c>
      <c r="V30" t="str">
        <f t="shared" si="6"/>
        <v>header  set_bp0=-205.373661182744
set_bp1=399.523490989419
set_bp2=-255.685245982191
set_bp3=68.1613300010565
set_bp4=-5.55583918123784
purge_time=120</v>
      </c>
      <c r="W30" t="str">
        <f t="shared" si="7"/>
        <v>header  set_nozzle=1
set_gerr2=-2.84429262003914
set_gerr1=27.3962176483674
set_gerr0=-22.0158611121113
set_s1=-0.052
set_s2=1.1028
set_tr=300
set_v1=0.4644
set_v2=</v>
      </c>
    </row>
    <row r="31" spans="1:23">
      <c r="A31" s="4" t="s">
        <v>119</v>
      </c>
      <c r="B31">
        <v>-0.236865377713577</v>
      </c>
      <c r="C31">
        <v>2.82756245929313</v>
      </c>
      <c r="D31">
        <v>-1.05366874933801</v>
      </c>
      <c r="E31">
        <v>-2.84688686564053</v>
      </c>
      <c r="F31">
        <v>27.6952196175341</v>
      </c>
      <c r="G31">
        <v>-22.9798479290873</v>
      </c>
      <c r="H31">
        <v>-0.052</v>
      </c>
      <c r="I31">
        <v>1.1028</v>
      </c>
      <c r="J31">
        <v>300</v>
      </c>
      <c r="K31">
        <v>-5.55415790441604</v>
      </c>
      <c r="L31">
        <v>68.1006649031766</v>
      </c>
      <c r="M31">
        <v>-255.067560367143</v>
      </c>
      <c r="N31">
        <v>397.745574504024</v>
      </c>
      <c r="O31">
        <v>-204.311096418808</v>
      </c>
      <c r="P31">
        <v>0.4644</v>
      </c>
      <c r="Q31">
        <v>3194.376341</v>
      </c>
      <c r="T31" t="str">
        <f t="shared" si="4"/>
        <v>G23_PILOT_017</v>
      </c>
      <c r="U31" t="str">
        <f t="shared" si="5"/>
        <v>header  set_nozzle=0
set_gerr2=-0.236865377713577
set_gerr1=2.82756245929313
set_gerr0=-1.05366874933801
set_s1=-0.052
set_s2=1.1028
set_tr=300</v>
      </c>
      <c r="V31" t="str">
        <f t="shared" si="6"/>
        <v>header  set_bp0=-204.311096418808
set_bp1=397.745574504024
set_bp2=-255.067560367143
set_bp3=68.1006649031766
set_bp4=-5.55415790441604
purge_time=120</v>
      </c>
      <c r="W31" t="str">
        <f t="shared" si="7"/>
        <v>header  set_nozzle=1
set_gerr2=-2.84688686564053
set_gerr1=27.6952196175341
set_gerr0=-22.9798479290873
set_s1=-0.052
set_s2=1.1028
set_tr=300
set_v1=0.4644
set_v2=</v>
      </c>
    </row>
    <row r="32" spans="1:23">
      <c r="A32" s="4" t="s">
        <v>120</v>
      </c>
      <c r="B32">
        <v>-0.26349748850979</v>
      </c>
      <c r="C32">
        <v>3.10216537965184</v>
      </c>
      <c r="D32">
        <v>-1.4630616696601</v>
      </c>
      <c r="E32">
        <v>-2.9840056934579</v>
      </c>
      <c r="F32">
        <v>30.4923602748971</v>
      </c>
      <c r="G32">
        <v>-29.4041623474654</v>
      </c>
      <c r="H32">
        <v>-0.052</v>
      </c>
      <c r="I32">
        <v>1.1028</v>
      </c>
      <c r="J32">
        <v>300</v>
      </c>
      <c r="K32">
        <v>-5.62510515682949</v>
      </c>
      <c r="L32">
        <v>68.6678984301837</v>
      </c>
      <c r="M32">
        <v>-256.955473012219</v>
      </c>
      <c r="N32">
        <v>401.370979004192</v>
      </c>
      <c r="O32">
        <v>-206.221976388883</v>
      </c>
      <c r="P32">
        <v>0.4644</v>
      </c>
      <c r="Q32">
        <v>3194.884635</v>
      </c>
      <c r="T32" t="str">
        <f t="shared" si="4"/>
        <v>G23_PILOT_018</v>
      </c>
      <c r="U32" t="str">
        <f t="shared" si="5"/>
        <v>header  set_nozzle=0
set_gerr2=-0.26349748850979
set_gerr1=3.10216537965184
set_gerr0=-1.4630616696601
set_s1=-0.052
set_s2=1.1028
set_tr=300</v>
      </c>
      <c r="V32" t="str">
        <f t="shared" si="6"/>
        <v>header  set_bp0=-206.221976388883
set_bp1=401.370979004192
set_bp2=-256.955473012219
set_bp3=68.6678984301837
set_bp4=-5.62510515682949
purge_time=120</v>
      </c>
      <c r="W32" t="str">
        <f t="shared" si="7"/>
        <v>header  set_nozzle=1
set_gerr2=-2.9840056934579
set_gerr1=30.4923602748971
set_gerr0=-29.4041623474654
set_s1=-0.052
set_s2=1.1028
set_tr=300
set_v1=0.4644
set_v2=</v>
      </c>
    </row>
    <row r="33" spans="1:23">
      <c r="A33" s="4" t="s">
        <v>121</v>
      </c>
      <c r="B33">
        <v>-0.347866905927929</v>
      </c>
      <c r="C33">
        <v>3.80263005796216</v>
      </c>
      <c r="D33">
        <v>-1.88741535388948</v>
      </c>
      <c r="E33">
        <v>-2.85995660897448</v>
      </c>
      <c r="F33">
        <v>29.4346636463225</v>
      </c>
      <c r="G33">
        <v>-27.0993127319615</v>
      </c>
      <c r="H33">
        <v>-0.052</v>
      </c>
      <c r="I33">
        <v>1.1028</v>
      </c>
      <c r="J33">
        <v>300</v>
      </c>
      <c r="K33">
        <v>-3.98895079436161</v>
      </c>
      <c r="L33">
        <v>52.1316458833082</v>
      </c>
      <c r="M33">
        <v>-201.115776051106</v>
      </c>
      <c r="N33">
        <v>321.479572577399</v>
      </c>
      <c r="O33">
        <v>-166.291962426685</v>
      </c>
      <c r="P33">
        <v>0.4644</v>
      </c>
      <c r="Q33">
        <v>3186.166691</v>
      </c>
      <c r="T33" t="str">
        <f t="shared" si="4"/>
        <v>G23_PILOT_019</v>
      </c>
      <c r="U33" t="str">
        <f t="shared" si="5"/>
        <v>header  set_nozzle=0
set_gerr2=-0.347866905927929
set_gerr1=3.80263005796216
set_gerr0=-1.88741535388948
set_s1=-0.052
set_s2=1.1028
set_tr=300</v>
      </c>
      <c r="V33" t="str">
        <f t="shared" si="6"/>
        <v>header  set_bp0=-166.291962426685
set_bp1=321.479572577399
set_bp2=-201.115776051106
set_bp3=52.1316458833082
set_bp4=-3.98895079436161
purge_time=120</v>
      </c>
      <c r="W33" t="str">
        <f t="shared" si="7"/>
        <v>header  set_nozzle=1
set_gerr2=-2.85995660897448
set_gerr1=29.4346636463225
set_gerr0=-27.0993127319615
set_s1=-0.052
set_s2=1.1028
set_tr=300
set_v1=0.4644
set_v2=</v>
      </c>
    </row>
    <row r="34" spans="1:23">
      <c r="A34" s="4" t="s">
        <v>122</v>
      </c>
      <c r="B34">
        <v>-0.452352944996343</v>
      </c>
      <c r="C34">
        <v>4.23488918352714</v>
      </c>
      <c r="D34">
        <v>-1.94435023977485</v>
      </c>
      <c r="E34" s="7">
        <v>-2.91426946603676</v>
      </c>
      <c r="F34" s="7">
        <v>28.8765565323562</v>
      </c>
      <c r="G34" s="7">
        <v>-23.4029754892992</v>
      </c>
      <c r="H34">
        <v>-0.052</v>
      </c>
      <c r="I34">
        <v>1.1028</v>
      </c>
      <c r="J34">
        <v>300</v>
      </c>
      <c r="K34" s="7">
        <v>-4.99332523820444</v>
      </c>
      <c r="L34" s="7">
        <v>63.7740852651866</v>
      </c>
      <c r="M34" s="7">
        <v>-240.801909844944</v>
      </c>
      <c r="N34" s="7">
        <v>378.630638934497</v>
      </c>
      <c r="O34" s="7">
        <v>-190.975979906904</v>
      </c>
      <c r="P34" s="7">
        <v>0.4644</v>
      </c>
      <c r="Q34" s="7">
        <v>3190.488579</v>
      </c>
      <c r="R34" s="7"/>
      <c r="T34" t="str">
        <f t="shared" si="4"/>
        <v>G23_PILOT_020</v>
      </c>
      <c r="U34" t="str">
        <f t="shared" si="5"/>
        <v>header  set_nozzle=0
set_gerr2=-0.452352944996343
set_gerr1=4.23488918352714
set_gerr0=-1.94435023977485
set_s1=-0.052
set_s2=1.1028
set_tr=300</v>
      </c>
      <c r="V34" t="str">
        <f t="shared" si="6"/>
        <v>header  set_bp0=-190.975979906904
set_bp1=378.630638934497
set_bp2=-240.801909844944
set_bp3=63.7740852651866
set_bp4=-4.99332523820444
purge_time=120</v>
      </c>
      <c r="W34" t="str">
        <f t="shared" si="7"/>
        <v>header  set_nozzle=1
set_gerr2=-2.91426946603676
set_gerr1=28.8765565323562
set_gerr0=-23.4029754892992
set_s1=-0.052
set_s2=1.1028
set_tr=300
set_v1=0.4644
set_v2=</v>
      </c>
    </row>
    <row r="35" spans="1:23">
      <c r="A35" s="4" t="s">
        <v>123</v>
      </c>
      <c r="B35">
        <v>-0.391312454380067</v>
      </c>
      <c r="C35">
        <v>3.96307484924467</v>
      </c>
      <c r="D35">
        <v>-1.89788832881728</v>
      </c>
      <c r="E35">
        <v>-3.0474111630186</v>
      </c>
      <c r="F35">
        <v>29.9463938341654</v>
      </c>
      <c r="G35">
        <v>-24.9202758867699</v>
      </c>
      <c r="H35">
        <v>-0.052</v>
      </c>
      <c r="I35">
        <v>1.1028</v>
      </c>
      <c r="J35">
        <v>300</v>
      </c>
      <c r="K35">
        <v>-4.91105</v>
      </c>
      <c r="L35">
        <v>62.01675</v>
      </c>
      <c r="M35">
        <v>-233.432</v>
      </c>
      <c r="N35">
        <v>366.7306</v>
      </c>
      <c r="O35">
        <v>-185.468</v>
      </c>
      <c r="P35" s="7">
        <v>0.4644</v>
      </c>
      <c r="Q35">
        <v>3160.45</v>
      </c>
      <c r="T35" t="str">
        <f t="shared" si="4"/>
        <v>G23_PILOT_021</v>
      </c>
      <c r="U35" t="str">
        <f t="shared" si="5"/>
        <v>header  set_nozzle=0
set_gerr2=-0.391312454380067
set_gerr1=3.96307484924467
set_gerr0=-1.89788832881728
set_s1=-0.052
set_s2=1.1028
set_tr=300</v>
      </c>
      <c r="V35" t="str">
        <f t="shared" si="6"/>
        <v>header  set_bp0=-185.468
set_bp1=366.7306
set_bp2=-233.432
set_bp3=62.01675
set_bp4=-4.91105
purge_time=120</v>
      </c>
      <c r="W35" t="str">
        <f t="shared" si="7"/>
        <v>header  set_nozzle=1
set_gerr2=-3.0474111630186
set_gerr1=29.9463938341654
set_gerr0=-24.9202758867699
set_s1=-0.052
set_s2=1.1028
set_tr=300
set_v1=0.4644
set_v2=</v>
      </c>
    </row>
    <row r="36" spans="1:23">
      <c r="A36" s="4" t="s">
        <v>124</v>
      </c>
      <c r="B36">
        <v>-0.351977</v>
      </c>
      <c r="C36">
        <v>3.790107</v>
      </c>
      <c r="D36">
        <v>-1.685375</v>
      </c>
      <c r="E36">
        <v>-2.83005</v>
      </c>
      <c r="F36">
        <v>28.01044</v>
      </c>
      <c r="G36">
        <v>-20.6394</v>
      </c>
      <c r="H36">
        <v>-0.052</v>
      </c>
      <c r="I36">
        <v>1.1028</v>
      </c>
      <c r="J36">
        <v>300</v>
      </c>
      <c r="K36">
        <v>-5.11453801235811</v>
      </c>
      <c r="L36">
        <v>63.9774789775608</v>
      </c>
      <c r="M36">
        <v>-239.970456851132</v>
      </c>
      <c r="N36">
        <v>375.551265223904</v>
      </c>
      <c r="O36">
        <v>-188.954362108834</v>
      </c>
      <c r="P36" s="7">
        <v>0.4644</v>
      </c>
      <c r="Q36">
        <v>3165.92</v>
      </c>
      <c r="T36" t="str">
        <f t="shared" si="4"/>
        <v>G23_PILOT_022</v>
      </c>
      <c r="U36" t="str">
        <f t="shared" si="5"/>
        <v>header  set_nozzle=0
set_gerr2=-0.351977
set_gerr1=3.790107
set_gerr0=-1.685375
set_s1=-0.052
set_s2=1.1028
set_tr=300</v>
      </c>
      <c r="V36" t="str">
        <f t="shared" si="6"/>
        <v>header  set_bp0=-188.954362108834
set_bp1=375.551265223904
set_bp2=-239.970456851132
set_bp3=63.9774789775608
set_bp4=-5.11453801235811
purge_time=120</v>
      </c>
      <c r="W36" t="str">
        <f t="shared" si="7"/>
        <v>header  set_nozzle=1
set_gerr2=-2.83005
set_gerr1=28.01044
set_gerr0=-20.6394
set_s1=-0.052
set_s2=1.1028
set_tr=300
set_v1=0.4644
set_v2=</v>
      </c>
    </row>
    <row r="37" spans="1:23">
      <c r="A37" s="4" t="s">
        <v>125</v>
      </c>
      <c r="B37">
        <v>-0.394791583514779</v>
      </c>
      <c r="C37">
        <v>4.05862891800604</v>
      </c>
      <c r="D37">
        <v>-2.10295227794344</v>
      </c>
      <c r="E37">
        <v>-2.96595846427771</v>
      </c>
      <c r="F37">
        <v>29.4346959758756</v>
      </c>
      <c r="G37">
        <v>-24.2854335778378</v>
      </c>
      <c r="H37">
        <v>-0.052</v>
      </c>
      <c r="I37">
        <v>1.1028</v>
      </c>
      <c r="J37">
        <v>300</v>
      </c>
      <c r="K37">
        <v>-5.55733611097165</v>
      </c>
      <c r="L37">
        <v>67.6774589089302</v>
      </c>
      <c r="M37">
        <v>-250.401001580124</v>
      </c>
      <c r="N37">
        <v>386.46460061962</v>
      </c>
      <c r="O37">
        <v>-192.799608396573</v>
      </c>
      <c r="P37" s="7">
        <v>0.4644</v>
      </c>
      <c r="Q37" s="9">
        <v>3168.52150643418</v>
      </c>
      <c r="T37" t="str">
        <f t="shared" si="4"/>
        <v>G23_PILOT_023</v>
      </c>
      <c r="U37" t="str">
        <f t="shared" si="5"/>
        <v>header  set_nozzle=0
set_gerr2=-0.394791583514779
set_gerr1=4.05862891800604
set_gerr0=-2.10295227794344
set_s1=-0.052
set_s2=1.1028
set_tr=300</v>
      </c>
      <c r="V37" t="str">
        <f t="shared" si="6"/>
        <v>header  set_bp0=-192.799608396573
set_bp1=386.46460061962
set_bp2=-250.401001580124
set_bp3=67.6774589089302
set_bp4=-5.55733611097165
purge_time=120</v>
      </c>
      <c r="W37" t="str">
        <f t="shared" si="7"/>
        <v>header  set_nozzle=1
set_gerr2=-2.96595846427771
set_gerr1=29.4346959758756
set_gerr0=-24.2854335778378
set_s1=-0.052
set_s2=1.1028
set_tr=300
set_v1=0.4644
set_v2=</v>
      </c>
    </row>
    <row r="38" spans="1:23">
      <c r="A38" s="4" t="s">
        <v>126</v>
      </c>
      <c r="B38">
        <v>-0.451961027953396</v>
      </c>
      <c r="C38">
        <v>4.25806463862962</v>
      </c>
      <c r="D38">
        <v>-2.20532408396668</v>
      </c>
      <c r="E38">
        <v>-2.93387202291665</v>
      </c>
      <c r="F38">
        <v>29.1703067935731</v>
      </c>
      <c r="G38">
        <v>-23.9430035838137</v>
      </c>
      <c r="H38">
        <v>-0.052</v>
      </c>
      <c r="I38">
        <v>1.1028</v>
      </c>
      <c r="J38">
        <v>300</v>
      </c>
      <c r="K38">
        <v>-5.69153730448838</v>
      </c>
      <c r="L38">
        <v>69.2519201587069</v>
      </c>
      <c r="M38">
        <v>-256.464124752034</v>
      </c>
      <c r="N38">
        <v>395.736011971381</v>
      </c>
      <c r="O38">
        <v>-197.460703508784</v>
      </c>
      <c r="P38" s="7">
        <v>0.4644</v>
      </c>
      <c r="Q38" s="9">
        <v>3149.98826473044</v>
      </c>
      <c r="T38" t="str">
        <f t="shared" si="4"/>
        <v>G23_PILOT_024</v>
      </c>
      <c r="U38" t="str">
        <f t="shared" si="5"/>
        <v>header  set_nozzle=0
set_gerr2=-0.451961027953396
set_gerr1=4.25806463862962
set_gerr0=-2.20532408396668
set_s1=-0.052
set_s2=1.1028
set_tr=300</v>
      </c>
      <c r="V38" t="str">
        <f t="shared" si="6"/>
        <v>header  set_bp0=-197.460703508784
set_bp1=395.736011971381
set_bp2=-256.464124752034
set_bp3=69.2519201587069
set_bp4=-5.69153730448838
purge_time=120</v>
      </c>
      <c r="W38" t="str">
        <f t="shared" si="7"/>
        <v>header  set_nozzle=1
set_gerr2=-2.93387202291665
set_gerr1=29.1703067935731
set_gerr0=-23.9430035838137
set_s1=-0.052
set_s2=1.1028
set_tr=300
set_v1=0.4644
set_v2=</v>
      </c>
    </row>
    <row r="39" spans="1:23">
      <c r="A39" s="4" t="s">
        <v>127</v>
      </c>
      <c r="B39">
        <v>-0.457917934243738</v>
      </c>
      <c r="C39">
        <v>4.49509133433822</v>
      </c>
      <c r="D39">
        <v>-2.21383735073978</v>
      </c>
      <c r="E39">
        <v>-2.69293946507337</v>
      </c>
      <c r="F39">
        <v>26.7444058708492</v>
      </c>
      <c r="G39" s="2">
        <v>-17.9415310509873</v>
      </c>
      <c r="H39">
        <v>-0.052</v>
      </c>
      <c r="I39">
        <v>1.1028</v>
      </c>
      <c r="J39">
        <v>300</v>
      </c>
      <c r="K39">
        <v>-5.91378943669145</v>
      </c>
      <c r="L39">
        <v>71.7248603956768</v>
      </c>
      <c r="M39">
        <v>-266.127706614432</v>
      </c>
      <c r="N39">
        <v>411.382118644982</v>
      </c>
      <c r="O39">
        <v>-205.64293313889</v>
      </c>
      <c r="P39" s="7">
        <v>0.4644</v>
      </c>
      <c r="Q39" s="9">
        <v>3179.5085397724</v>
      </c>
      <c r="T39" t="str">
        <f t="shared" si="4"/>
        <v>G23_PILOT_025</v>
      </c>
      <c r="U39" t="str">
        <f t="shared" si="5"/>
        <v>header  set_nozzle=0
set_gerr2=-0.457917934243738
set_gerr1=4.49509133433822
set_gerr0=-2.21383735073978
set_s1=-0.052
set_s2=1.1028
set_tr=300</v>
      </c>
      <c r="V39" t="str">
        <f t="shared" si="6"/>
        <v>header  set_bp0=-205.64293313889
set_bp1=411.382118644982
set_bp2=-266.127706614432
set_bp3=71.7248603956768
set_bp4=-5.91378943669145
purge_time=120</v>
      </c>
      <c r="W39" t="str">
        <f t="shared" si="7"/>
        <v>header  set_nozzle=1
set_gerr2=-2.69293946507337
set_gerr1=26.7444058708492
set_gerr0=-17.9415310509873
set_s1=-0.052
set_s2=1.1028
set_tr=300
set_v1=0.4644
set_v2=</v>
      </c>
    </row>
    <row r="40" spans="1:23">
      <c r="A40" t="s">
        <v>128</v>
      </c>
      <c r="B40">
        <v>-0.370328321</v>
      </c>
      <c r="C40">
        <v>3.99411056</v>
      </c>
      <c r="D40">
        <v>-2.020551979</v>
      </c>
      <c r="E40">
        <v>-2.821639047</v>
      </c>
      <c r="F40">
        <v>28.20853071</v>
      </c>
      <c r="G40">
        <v>-22.66186234</v>
      </c>
      <c r="H40">
        <v>-0.052</v>
      </c>
      <c r="I40">
        <v>1.1028</v>
      </c>
      <c r="J40">
        <v>300</v>
      </c>
      <c r="K40">
        <v>-4.223693602</v>
      </c>
      <c r="L40">
        <v>55.14574355</v>
      </c>
      <c r="M40">
        <v>-208.7133303</v>
      </c>
      <c r="N40">
        <v>327.881772</v>
      </c>
      <c r="O40">
        <v>-163.7806534</v>
      </c>
      <c r="P40">
        <v>0.4644</v>
      </c>
      <c r="Q40">
        <v>3166.7208</v>
      </c>
      <c r="R40">
        <v>3166.7208</v>
      </c>
      <c r="T40" t="str">
        <f t="shared" si="4"/>
        <v>G23_PILOT_026</v>
      </c>
      <c r="U40" t="str">
        <f t="shared" si="5"/>
        <v>header  set_nozzle=0
set_gerr2=-0.370328321
set_gerr1=3.99411056
set_gerr0=-2.020551979
set_s1=-0.052
set_s2=1.1028
set_tr=300</v>
      </c>
      <c r="V40" t="str">
        <f t="shared" si="6"/>
        <v>header  set_bp0=-163.7806534
set_bp1=327.881772
set_bp2=-208.7133303
set_bp3=55.14574355
set_bp4=-4.223693602
purge_time=120</v>
      </c>
      <c r="W40" t="str">
        <f t="shared" si="7"/>
        <v>header  set_nozzle=1
set_gerr2=-2.821639047
set_gerr1=28.20853071
set_gerr0=-22.66186234
set_s1=-0.052
set_s2=1.1028
set_tr=300
set_v1=0.4644
set_v2=3166.7208</v>
      </c>
    </row>
    <row r="41" spans="1:23">
      <c r="A41" t="s">
        <v>129</v>
      </c>
      <c r="B41">
        <v>-0.40696052</v>
      </c>
      <c r="C41">
        <v>4.308078442</v>
      </c>
      <c r="D41">
        <v>-2.250140767</v>
      </c>
      <c r="E41">
        <v>-3.199193265</v>
      </c>
      <c r="F41">
        <v>32.14666819</v>
      </c>
      <c r="G41">
        <v>-33.46083516</v>
      </c>
      <c r="H41">
        <v>-0.052</v>
      </c>
      <c r="I41">
        <v>1.1028</v>
      </c>
      <c r="J41">
        <v>300</v>
      </c>
      <c r="K41">
        <v>-4.289979119</v>
      </c>
      <c r="L41">
        <v>54.81046103</v>
      </c>
      <c r="M41">
        <v>-204.4168592</v>
      </c>
      <c r="N41">
        <v>317.5304989</v>
      </c>
      <c r="O41">
        <v>-157.0045706</v>
      </c>
      <c r="P41">
        <v>0.4644</v>
      </c>
      <c r="Q41">
        <v>3175.197344</v>
      </c>
      <c r="R41">
        <v>3175.197344</v>
      </c>
      <c r="T41" t="str">
        <f t="shared" si="4"/>
        <v>G23_PILOT_027</v>
      </c>
      <c r="U41" t="str">
        <f t="shared" si="5"/>
        <v>header  set_nozzle=0
set_gerr2=-0.40696052
set_gerr1=4.308078442
set_gerr0=-2.250140767
set_s1=-0.052
set_s2=1.1028
set_tr=300</v>
      </c>
      <c r="V41" t="str">
        <f t="shared" si="6"/>
        <v>header  set_bp0=-157.0045706
set_bp1=317.5304989
set_bp2=-204.4168592
set_bp3=54.81046103
set_bp4=-4.289979119
purge_time=120</v>
      </c>
      <c r="W41" t="str">
        <f t="shared" si="7"/>
        <v>header  set_nozzle=1
set_gerr2=-3.199193265
set_gerr1=32.14666819
set_gerr0=-33.46083516
set_s1=-0.052
set_s2=1.1028
set_tr=300
set_v1=0.4644
set_v2=3175.197344</v>
      </c>
    </row>
    <row r="42" spans="1:23">
      <c r="A42" t="s">
        <v>130</v>
      </c>
      <c r="B42">
        <v>-0.396283027</v>
      </c>
      <c r="C42">
        <v>4.118304189</v>
      </c>
      <c r="D42">
        <v>-1.941484646</v>
      </c>
      <c r="E42">
        <v>-2.192245288</v>
      </c>
      <c r="F42">
        <v>21.24586286</v>
      </c>
      <c r="G42" s="7">
        <v>-2.038656352</v>
      </c>
      <c r="H42">
        <v>-0.052</v>
      </c>
      <c r="I42">
        <v>1.1028</v>
      </c>
      <c r="J42">
        <v>300</v>
      </c>
      <c r="K42">
        <v>-4.459007662</v>
      </c>
      <c r="L42">
        <v>56.50866979</v>
      </c>
      <c r="M42">
        <v>-211.0574233</v>
      </c>
      <c r="N42">
        <v>328.7940727</v>
      </c>
      <c r="O42">
        <v>-163.1385243</v>
      </c>
      <c r="P42">
        <v>0.4644</v>
      </c>
      <c r="Q42">
        <v>3140.614968</v>
      </c>
      <c r="R42">
        <v>3140.614968</v>
      </c>
      <c r="T42" t="str">
        <f t="shared" si="4"/>
        <v>G23_PILOT_028</v>
      </c>
      <c r="U42" t="str">
        <f t="shared" si="5"/>
        <v>header  set_nozzle=0
set_gerr2=-0.396283027
set_gerr1=4.118304189
set_gerr0=-1.941484646
set_s1=-0.052
set_s2=1.1028
set_tr=300</v>
      </c>
      <c r="V42" t="str">
        <f t="shared" si="6"/>
        <v>header  set_bp0=-163.1385243
set_bp1=328.7940727
set_bp2=-211.0574233
set_bp3=56.50866979
set_bp4=-4.459007662
purge_time=120</v>
      </c>
      <c r="W42" t="str">
        <f t="shared" si="7"/>
        <v>header  set_nozzle=1
set_gerr2=-2.192245288
set_gerr1=21.24586286
set_gerr0=-2.038656352
set_s1=-0.052
set_s2=1.1028
set_tr=300
set_v1=0.4644
set_v2=3140.614968</v>
      </c>
    </row>
    <row r="44" ht="99.75" spans="1:7">
      <c r="A44" s="8" t="s">
        <v>131</v>
      </c>
      <c r="B44" s="8"/>
      <c r="C44" s="8"/>
      <c r="G44" s="8"/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D27"/>
  <sheetViews>
    <sheetView topLeftCell="A4" workbookViewId="0">
      <selection activeCell="A28" sqref="A28"/>
    </sheetView>
  </sheetViews>
  <sheetFormatPr defaultColWidth="9" defaultRowHeight="14.25" outlineLevelCol="3"/>
  <cols>
    <col min="2" max="2" width="43.375" customWidth="1"/>
    <col min="4" max="4" width="9.25" customWidth="1"/>
  </cols>
  <sheetData>
    <row r="1" spans="1:4">
      <c r="A1" t="s">
        <v>132</v>
      </c>
      <c r="B1" t="s">
        <v>93</v>
      </c>
      <c r="C1" t="s">
        <v>133</v>
      </c>
      <c r="D1" t="s">
        <v>134</v>
      </c>
    </row>
    <row r="2" spans="1:4">
      <c r="A2" t="s">
        <v>135</v>
      </c>
      <c r="B2" t="s">
        <v>136</v>
      </c>
      <c r="C2" t="s">
        <v>137</v>
      </c>
      <c r="D2" s="3">
        <v>45438</v>
      </c>
    </row>
    <row r="3" spans="1:4">
      <c r="A3" t="s">
        <v>138</v>
      </c>
      <c r="B3" t="s">
        <v>139</v>
      </c>
      <c r="C3" t="s">
        <v>137</v>
      </c>
      <c r="D3" s="3">
        <v>45438</v>
      </c>
    </row>
    <row r="4" spans="1:2">
      <c r="A4" t="s">
        <v>140</v>
      </c>
      <c r="B4" t="s">
        <v>141</v>
      </c>
    </row>
    <row r="5" spans="1:4">
      <c r="A5" t="s">
        <v>142</v>
      </c>
      <c r="B5" t="s">
        <v>143</v>
      </c>
      <c r="C5" t="s">
        <v>137</v>
      </c>
      <c r="D5" s="3">
        <v>45448</v>
      </c>
    </row>
    <row r="6" spans="1:4">
      <c r="A6" t="s">
        <v>144</v>
      </c>
      <c r="B6" t="s">
        <v>145</v>
      </c>
      <c r="C6" t="s">
        <v>137</v>
      </c>
      <c r="D6" s="3">
        <v>45470</v>
      </c>
    </row>
    <row r="7" spans="1:4">
      <c r="A7" t="s">
        <v>146</v>
      </c>
      <c r="B7" t="s">
        <v>147</v>
      </c>
      <c r="C7" t="s">
        <v>137</v>
      </c>
      <c r="D7" s="3">
        <v>45499</v>
      </c>
    </row>
    <row r="8" spans="1:4">
      <c r="A8" t="s">
        <v>148</v>
      </c>
      <c r="B8" t="s">
        <v>149</v>
      </c>
      <c r="C8" t="s">
        <v>137</v>
      </c>
      <c r="D8" s="3">
        <v>45512</v>
      </c>
    </row>
    <row r="9" spans="1:4">
      <c r="A9" t="s">
        <v>150</v>
      </c>
      <c r="B9" t="s">
        <v>151</v>
      </c>
      <c r="C9" t="s">
        <v>137</v>
      </c>
      <c r="D9" s="3">
        <v>45524</v>
      </c>
    </row>
    <row r="10" spans="1:4">
      <c r="A10" t="s">
        <v>152</v>
      </c>
      <c r="B10" t="s">
        <v>153</v>
      </c>
      <c r="C10" t="s">
        <v>137</v>
      </c>
      <c r="D10" s="3">
        <v>45592</v>
      </c>
    </row>
    <row r="11" spans="1:4">
      <c r="A11" t="s">
        <v>154</v>
      </c>
      <c r="B11" t="s">
        <v>155</v>
      </c>
      <c r="C11" t="s">
        <v>137</v>
      </c>
      <c r="D11" s="3">
        <v>45652</v>
      </c>
    </row>
    <row r="12" spans="1:4">
      <c r="A12" t="s">
        <v>156</v>
      </c>
      <c r="B12" t="s">
        <v>157</v>
      </c>
      <c r="C12" t="s">
        <v>158</v>
      </c>
      <c r="D12" s="3">
        <v>45667</v>
      </c>
    </row>
    <row r="13" spans="1:4">
      <c r="A13" t="s">
        <v>159</v>
      </c>
      <c r="B13" s="4" t="s">
        <v>160</v>
      </c>
      <c r="C13" t="s">
        <v>158</v>
      </c>
      <c r="D13" s="3">
        <v>45693</v>
      </c>
    </row>
    <row r="14" spans="1:4">
      <c r="A14" t="s">
        <v>161</v>
      </c>
      <c r="B14" s="4" t="s">
        <v>162</v>
      </c>
      <c r="C14" t="s">
        <v>137</v>
      </c>
      <c r="D14" s="3">
        <v>45708</v>
      </c>
    </row>
    <row r="15" spans="1:4">
      <c r="A15" t="s">
        <v>163</v>
      </c>
      <c r="B15" s="4" t="s">
        <v>164</v>
      </c>
      <c r="C15" t="s">
        <v>137</v>
      </c>
      <c r="D15" s="3">
        <v>45713</v>
      </c>
    </row>
    <row r="16" spans="1:4">
      <c r="A16" t="s">
        <v>165</v>
      </c>
      <c r="B16" s="4" t="s">
        <v>166</v>
      </c>
      <c r="C16" t="s">
        <v>137</v>
      </c>
      <c r="D16" s="3">
        <v>45769</v>
      </c>
    </row>
    <row r="17" spans="1:4">
      <c r="A17" t="s">
        <v>167</v>
      </c>
      <c r="B17" s="4" t="s">
        <v>168</v>
      </c>
      <c r="C17" t="s">
        <v>137</v>
      </c>
      <c r="D17" s="3">
        <v>45771</v>
      </c>
    </row>
    <row r="18" spans="1:4">
      <c r="A18" t="s">
        <v>169</v>
      </c>
      <c r="B18" s="4" t="s">
        <v>170</v>
      </c>
      <c r="C18" t="s">
        <v>137</v>
      </c>
      <c r="D18" s="3">
        <v>45776</v>
      </c>
    </row>
    <row r="19" spans="1:4">
      <c r="A19" t="s">
        <v>171</v>
      </c>
      <c r="B19" s="4" t="s">
        <v>172</v>
      </c>
      <c r="C19" t="s">
        <v>137</v>
      </c>
      <c r="D19" s="3">
        <v>45786</v>
      </c>
    </row>
    <row r="20" spans="1:4">
      <c r="A20" t="s">
        <v>173</v>
      </c>
      <c r="B20" t="s">
        <v>149</v>
      </c>
      <c r="C20" t="s">
        <v>137</v>
      </c>
      <c r="D20" s="3">
        <v>45791</v>
      </c>
    </row>
    <row r="21" spans="1:4">
      <c r="A21" t="s">
        <v>174</v>
      </c>
      <c r="B21" t="s">
        <v>175</v>
      </c>
      <c r="C21" t="s">
        <v>137</v>
      </c>
      <c r="D21" s="3">
        <v>45798</v>
      </c>
    </row>
    <row r="22" spans="1:4">
      <c r="A22" s="4" t="s">
        <v>176</v>
      </c>
      <c r="B22" s="4" t="s">
        <v>177</v>
      </c>
      <c r="C22" s="4" t="s">
        <v>137</v>
      </c>
      <c r="D22" s="5">
        <v>45818</v>
      </c>
    </row>
    <row r="23" spans="1:4">
      <c r="A23" s="4" t="s">
        <v>178</v>
      </c>
      <c r="B23" s="4" t="s">
        <v>179</v>
      </c>
      <c r="C23" s="4" t="s">
        <v>137</v>
      </c>
      <c r="D23" s="5">
        <v>45825</v>
      </c>
    </row>
    <row r="24" spans="1:4">
      <c r="A24" s="4" t="s">
        <v>180</v>
      </c>
      <c r="B24" s="4" t="s">
        <v>181</v>
      </c>
      <c r="C24" s="4" t="s">
        <v>137</v>
      </c>
      <c r="D24" s="5">
        <v>45853</v>
      </c>
    </row>
    <row r="25" spans="1:4">
      <c r="A25" s="4" t="s">
        <v>182</v>
      </c>
      <c r="B25" s="4" t="s">
        <v>183</v>
      </c>
      <c r="C25" s="4" t="s">
        <v>137</v>
      </c>
      <c r="D25" s="5">
        <v>45865</v>
      </c>
    </row>
    <row r="26" spans="1:4">
      <c r="A26" s="4" t="s">
        <v>184</v>
      </c>
      <c r="B26" s="4" t="s">
        <v>185</v>
      </c>
      <c r="C26" s="4" t="s">
        <v>137</v>
      </c>
      <c r="D26" s="5">
        <v>45921</v>
      </c>
    </row>
    <row r="27" spans="1:4">
      <c r="A27" s="4" t="s">
        <v>186</v>
      </c>
      <c r="B27" s="4" t="s">
        <v>187</v>
      </c>
      <c r="C27" s="4" t="s">
        <v>137</v>
      </c>
      <c r="D27" s="5">
        <v>46017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D59"/>
  <sheetViews>
    <sheetView workbookViewId="0">
      <selection activeCell="B38" sqref="B38"/>
    </sheetView>
  </sheetViews>
  <sheetFormatPr defaultColWidth="8.625" defaultRowHeight="14.25" outlineLevelCol="3"/>
  <cols>
    <col min="1" max="1" width="31.625" customWidth="1"/>
    <col min="2" max="2" width="38.375" customWidth="1"/>
    <col min="3" max="3" width="42.125" customWidth="1"/>
    <col min="4" max="4" width="168.75" customWidth="1"/>
  </cols>
  <sheetData>
    <row r="1" spans="1:2">
      <c r="A1" s="1" t="str">
        <f>气体参数!N2</f>
        <v>header set_gas=1
set_shr=1.667
set_mw=4.002
set_c1=1.115
set_c2=0.363025318922611
set_c3=0.487092169440701
set_a=1
set_b=0
set_c=0
set_d=0</v>
      </c>
      <c r="B1" t="s">
        <v>11</v>
      </c>
    </row>
    <row r="2" spans="1:2">
      <c r="A2" s="1" t="str">
        <f>气体参数!N3</f>
        <v>header set_gas=4
set_shr=1.667
set_mw=39.948
set_c1=1.269
set_c2=0.114902092344169
set_c3=0.487092169440701
set_a=1
set_b=0
set_c=0
set_d=0</v>
      </c>
      <c r="B2" t="s">
        <v>13</v>
      </c>
    </row>
    <row r="3" spans="1:2">
      <c r="A3" s="1" t="str">
        <f>气体参数!N4</f>
        <v>header set_gas=13
set_shr=1.4
set_mw=28
set_c1=1
set_c2=0.129402082031238
set_c3=0.528281787717174
set_a=1
set_b=0
set_c=0
set_d=0</v>
      </c>
      <c r="B3" t="s">
        <v>15</v>
      </c>
    </row>
    <row r="4" spans="1:2">
      <c r="A4" s="1" t="str">
        <f>气体参数!N5</f>
        <v>header set_gas=25
set_shr=1.289
set_mw=44.01
set_c1=0.8366
set_c2=0.100281321601283
set_c3=0.547723501628019
set_a=1
set_b=0
set_c=0
set_d=0</v>
      </c>
      <c r="B4" t="s">
        <v>17</v>
      </c>
    </row>
    <row r="5" spans="1:2">
      <c r="A5" s="1" t="str">
        <f>气体参数!N6</f>
        <v>header set_gas=110
set_shr=1.1
set_mw=146
set_c1=0.853
set_c2=0.0520034641302041
set_c3=0.584679289086437
set_a=1
set_b=0
set_c=0
set_d=0</v>
      </c>
      <c r="B5" t="s">
        <v>19</v>
      </c>
    </row>
    <row r="6" spans="1:2">
      <c r="A6" s="1" t="str">
        <f>气体参数!N7</f>
        <v>header set_gas=108
set_shr=1.1
set_mw=169.9
set_c1=0.98
set_c2=0.0482072117274695
set_c3=0.584679289086437
set_a=4.0032
set_b=1149.8
set_c=-43.04
set_d=20</v>
      </c>
      <c r="B6" t="s">
        <v>21</v>
      </c>
    </row>
    <row r="7" spans="1:2">
      <c r="A7" s="1" t="str">
        <f>气体参数!N8</f>
        <v>header set_gas=15
set_shr=1.4
set_mw=32
set_c1=1.15
set_c2=0.121044564024027
set_c3=0.528281787717174
set_a=1
set_b=0
set_c=0
set_d=0</v>
      </c>
      <c r="B7" t="s">
        <v>23</v>
      </c>
    </row>
    <row r="8" spans="1:2">
      <c r="A8" s="1" t="str">
        <f>气体参数!N9</f>
        <v>header set_gas=297
set_shr=1.06
set_mw=162
set_c1=0.853
set_c2=0.0486993391548769
set_c3=0.59321077406382
set_a=0.06
set_b=0
set_c=0
set_d=0</v>
      </c>
      <c r="B8" t="s">
        <v>25</v>
      </c>
    </row>
    <row r="9" spans="1:2">
      <c r="A9" s="1" t="str">
        <f>气体参数!N10</f>
        <v>header set_gas=28
set_shr=1.32
set_mw=16
set_c1=0.58
set_c2=0.167713013820073
set_c3=0.542139179851747
set_a=1
set_b=0
set_c=0
set_d=0</v>
      </c>
      <c r="B9" t="s">
        <v>27</v>
      </c>
    </row>
    <row r="10" spans="1:2">
      <c r="A10" s="1" t="str">
        <f>气体参数!N11</f>
        <v>header set_gas=34
set_shr=1.25
set_mw=60
set_c1=0.69
set_c2=0.0849557993059992
set_c3=0.554928957306643
set_a=1
set_b=0
set_c=0
set_d=0</v>
      </c>
      <c r="B10" t="s">
        <v>29</v>
      </c>
    </row>
    <row r="11" spans="1:2">
      <c r="A11" s="1" t="str">
        <f>气体参数!N12</f>
        <v>header set_gas=19
set_shr=1.33
set_mw=71
set_c1=0.768
set_c2=0.0798263056832846
set_c3=0.54036401763595
set_a=1
set_b=0
set_c=0
set_d=0</v>
      </c>
      <c r="B11" t="s">
        <v>31</v>
      </c>
    </row>
    <row r="12" spans="1:2">
      <c r="A12" s="1" t="str">
        <f>气体参数!N13</f>
        <v>header set_gas=160
set_shr=1.24
set_mw=52
set_c1=0.81
set_c2=0.090996578908725
set_c3=0.556809816030138
set_a=4.262
set_b=821.09
set_c=-28.55
set_d=0</v>
      </c>
      <c r="B12" t="s">
        <v>33</v>
      </c>
    </row>
    <row r="13" spans="1:2">
      <c r="A13" s="1" t="str">
        <f>气体参数!N14</f>
        <v>header set_gas=49
set_shr=1.19
set_mw=70
set_c1=0.82
set_c2=0.0772813444103121
set_c3=0.566425958602578
set_a=1
set_b=0
set_c=0
set_d=0</v>
      </c>
      <c r="B13" t="s">
        <v>34</v>
      </c>
    </row>
    <row r="14" spans="1:2">
      <c r="A14" s="1" t="str">
        <f>气体参数!N15</f>
        <v>header set_gas=10
set_shr=1.38
set_mw=81
set_c1=1.07
set_c2=0.0757034653508419
set_c3=0.531673782783774
set_a=4.15
set_b=754.97
set_c=-25.086
set_d=0</v>
      </c>
      <c r="B14" t="s">
        <v>35</v>
      </c>
    </row>
    <row r="15" spans="1:2">
      <c r="A15" s="1" t="str">
        <f>气体参数!N16</f>
        <v>header set_gas=63
set_shr=1.18
set_mw=88
set_c1=1.01
set_c2=0.0687165631285626
set_c3=0.568392728733342
set_a=1
set_b=0
set_c=0
set_d=0</v>
      </c>
      <c r="B15" t="s">
        <v>36</v>
      </c>
    </row>
    <row r="16" spans="1:2">
      <c r="A16" s="1" t="str">
        <f>气体参数!N17</f>
        <v>header set_gas=53
set_shr=1.18
set_mw=71
set_c1=0.97
set_c2=0.0765021413896878
set_c3=0.568392728733342
set_a=1
set_b=0
set_c=0
set_d=0</v>
      </c>
      <c r="B16" t="s">
        <v>37</v>
      </c>
    </row>
    <row r="17" spans="1:2">
      <c r="A17" s="1" t="str">
        <f>气体参数!N18</f>
        <v>header set_gas=33
set_shr=1.28
set_mw=34
set_c1=0.67
set_c2=0.113810279189924
set_c3=0.549368225211583
set_a=1
set_b=0
set_c=0
set_d=0</v>
      </c>
      <c r="B17" t="s">
        <v>38</v>
      </c>
    </row>
    <row r="18" spans="1:2">
      <c r="A18" s="1" t="str">
        <f>气体参数!N19</f>
        <v>header set_gas=129
set_shr=1.05
set_mw=200
set_c1=0.58
set_c2=0.0436757539973
set_c3=0.595386285715933
set_a=4.254
set_b=1007.4
set_c=-30.205
set_d=0</v>
      </c>
      <c r="B18" t="s">
        <v>39</v>
      </c>
    </row>
    <row r="19" spans="1:2">
      <c r="A19" s="1" t="str">
        <f>气体参数!N20</f>
        <v>header set_gas=70
set_shr=1.15
set_mw=117.16
set_c1=0.62
set_c2=0.059058
set_c3=0.573778
set_a=3.95145
set_b=973.995
set_c=-38.994
set_d=0</v>
      </c>
      <c r="B19" t="s">
        <v>40</v>
      </c>
    </row>
    <row r="20" spans="1:2">
      <c r="A20" s="1" t="str">
        <f>气体参数!N21</f>
        <v>header set_gas=39
set_shr=1.269
set_mw=32
set_c1=0.624
set_c2=0.116955155368212
set_c3=0.55139306326529
set_a=1
set_b=0
set_c=0
set_d=0</v>
      </c>
      <c r="B20" t="s">
        <v>41</v>
      </c>
    </row>
    <row r="27" spans="1:4">
      <c r="A27" s="1" t="str">
        <f>喷嘴参数!A14</f>
        <v>G23_PILOT_001</v>
      </c>
      <c r="B27" t="str">
        <f>喷嘴参数!U14</f>
        <v>header  set_nozzle=0
set_gerr2=-0.338132
set_gerr1=2.814077
set_gerr0=-1.645232
set_s1=-0.052
set_s2=1.1028
set_tr=300</v>
      </c>
      <c r="C27" t="str">
        <f>喷嘴参数!V14</f>
        <v>header  set_bp0=-455.638944554371
set_bp1=698.404586493478
set_bp2=-375.138679029412
set_bp3=87.1886224363897
set_bp4=-6.73965548858953
purge_time=120</v>
      </c>
      <c r="D27" t="str">
        <f>喷嘴参数!W14</f>
        <v>header  set_nozzle=1
set_gerr2=-2.05063
set_gerr1=22.54856
set_gerr0=-10.3344
set_s1=-0.052
set_s2=1.1028
set_tr=300
set_v1=0.4644
set_v2=3195</v>
      </c>
    </row>
    <row r="28" spans="1:4">
      <c r="A28" s="1" t="str">
        <f>喷嘴参数!A15</f>
        <v>工程样机</v>
      </c>
      <c r="B28" t="str">
        <f>喷嘴参数!U15</f>
        <v>header  set_nozzle=0
set_gerr2=-0.130901
set_gerr1=1.543311
set_gerr0=-0.775613
set_s1=-0.052
set_s2=1.1028
set_tr=300</v>
      </c>
      <c r="C28" t="str">
        <f>喷嘴参数!V15</f>
        <v>header  set_bp0=-592.33
set_bp1=907.93
set_bp2=-487.68
set_bp3=113.34
set_bp4=-8.7615
purge_time=120</v>
      </c>
      <c r="D28" t="str">
        <f>喷嘴参数!W15</f>
        <v>header  set_nozzle=1
set_gerr2=-1.80877
set_gerr1=20.54181
set_gerr0=-9.74048
set_s1=-0.052
set_s2=1.1028
set_tr=300
set_v1=0.4644
set_v2=3195</v>
      </c>
    </row>
    <row r="29" spans="1:4">
      <c r="A29" s="1" t="str">
        <f>喷嘴参数!A16</f>
        <v>G23_PILOT_002</v>
      </c>
      <c r="B29" t="str">
        <f>喷嘴参数!U16</f>
        <v>header  set_nozzle=0
set_gerr2=-0.1854216250807
set_gerr1=1.9169680267538
set_gerr0=-1.40999305747901
set_s1=-0.052
set_s2=1.1028
set_tr=300</v>
      </c>
      <c r="C29" t="str">
        <f>喷嘴参数!V16</f>
        <v>header  set_bp0=-1080.90411587727
set_bp1=1478.81013841609
set_bp2=-725.114797601548
set_bp3=154.407451582234
set_bp4=-11.2516489823773
purge_time=120</v>
      </c>
      <c r="D29" t="str">
        <f>喷嘴参数!W16</f>
        <v>header  set_nozzle=1
set_gerr2=-4.56576101906463
set_gerr1=44.3044554485287
set_gerr0=-57.4360388120656
set_s1=-0.052
set_s2=1.1028
set_tr=300
set_v1=0.4644
set_v2=3170</v>
      </c>
    </row>
    <row r="30" spans="1:4">
      <c r="A30" s="1" t="str">
        <f>喷嘴参数!A17</f>
        <v>G23_PILOT_003</v>
      </c>
      <c r="B30" t="str">
        <f>喷嘴参数!U17</f>
        <v>header  set_nozzle=0
set_gerr2=-0.480905948551373
set_gerr1=4.65347670238517
set_gerr0=-1.49310550768043
set_s1=-0.052
set_s2=1.1028
set_tr=300</v>
      </c>
      <c r="C30" t="str">
        <f>喷嘴参数!V17</f>
        <v>header  set_bp0=-1453.5292052402
set_bp1=1947.96456055809
set_bp2=-938.625579471547
set_bp3=195.661233100399
set_bp4=-14.1061830111192
purge_time=120</v>
      </c>
      <c r="D30" t="str">
        <f>喷嘴参数!W17</f>
        <v>header  set_nozzle=1
set_gerr2=-4.32904258610302
set_gerr1=42.0707378762887
set_gerr0=-51.5518589303579
set_s1=-0.052
set_s2=1.1028
set_tr=300
set_v1=0.4644
set_v2=3189</v>
      </c>
    </row>
    <row r="31" spans="1:4">
      <c r="A31" s="1" t="str">
        <f>喷嘴参数!A18</f>
        <v>G23_PILOT_001_改喷嘴</v>
      </c>
      <c r="B31" t="str">
        <f>喷嘴参数!U18</f>
        <v>header  set_nozzle=0
set_gerr2=-0.619384839581601
set_gerr1=6.00346336710397
set_gerr0=-2.33307265026052
set_s1=-0.052
set_s2=1.1028
set_tr=300</v>
      </c>
      <c r="C31" t="str">
        <f>喷嘴参数!V18</f>
        <v>header  set_bp0=-208.778662860889
set_bp1=409.729450057385
set_bp2=-259.41613826665
set_bp3=68.6443991098254
set_bp4=-5.51095019188687
purge_time=120</v>
      </c>
      <c r="D31" t="str">
        <f>喷嘴参数!W18</f>
        <v>header  set_nozzle=1
set_gerr2=-2.05063
set_gerr1=22.54856
set_gerr0=-10.3344
set_s1=-0.052
set_s2=1.1028
set_tr=300
set_v1=0.4644
set_v2=3195</v>
      </c>
    </row>
    <row r="32" spans="1:4">
      <c r="A32" s="1" t="str">
        <f>喷嘴参数!A19</f>
        <v>G23_PILOT_002_改喷嘴</v>
      </c>
      <c r="B32" t="str">
        <f>喷嘴参数!U19</f>
        <v>header  set_nozzle=0
set_gerr2=-0.328626755835232
set_gerr1=3.31414433748488
set_gerr0=-0.832538239980768
set_s1=-0.052
set_s2=1.1028
set_tr=300</v>
      </c>
      <c r="C32" t="str">
        <f>喷嘴参数!V19</f>
        <v>header  set_bp0=-174.12568249368
set_bp1=353.78002402822
set_bp2=-231.015593518699
set_bp3=63.126969122864
set_bp4=-5.17910969622423
purge_time=120</v>
      </c>
      <c r="D32" t="str">
        <f>喷嘴参数!W19</f>
        <v>header  set_nozzle=1
set_gerr2=-4.56576101906463
set_gerr1=44.3044554485287
set_gerr0=-57.4360388120656
set_s1=-0.052
set_s2=1.1028
set_tr=300
set_v1=0.4644
set_v2=3186.451709</v>
      </c>
    </row>
    <row r="33" spans="1:4">
      <c r="A33" s="1" t="str">
        <f>喷嘴参数!A20</f>
        <v>G23_PILOT_004</v>
      </c>
      <c r="B33" t="str">
        <f>喷嘴参数!U20</f>
        <v>header  set_nozzle=0
set_gerr2=-0.394323788988331
set_gerr1=3.76040659928571
set_gerr0=-1.56521407002074
set_s1=-0.052
set_s2=1.1028
set_tr=300</v>
      </c>
      <c r="C33" t="str">
        <f>喷嘴参数!V20</f>
        <v>header  set_bp0=-182.363556503213
set_bp1=360.830904566161
set_bp2=-231.519626114067
set_bp3=61.8417356214756
set_bp4=-4.99454374301303
purge_time=120</v>
      </c>
      <c r="D33" t="str">
        <f>喷嘴参数!W20</f>
        <v>header  set_nozzle=1
set_gerr2=-4.44863451897649
set_gerr1=43.1960207017044
set_gerr0=-53.9063435518526
set_s1=-0.052
set_s2=1.1028
set_tr=300
set_v1=0.4644
set_v2=3153.720168</v>
      </c>
    </row>
    <row r="34" spans="1:4">
      <c r="A34" s="1" t="str">
        <f>喷嘴参数!A21</f>
        <v>G23_PILOT_006</v>
      </c>
      <c r="B34" t="str">
        <f>喷嘴参数!U21</f>
        <v>header  set_nozzle=0
set_gerr2=-0.304156608089993
set_gerr1=3.37550362050009
set_gerr0=-1.41381991991565
set_s1=-0.052
set_s2=1.1028
set_tr=300</v>
      </c>
      <c r="C34" t="str">
        <f>喷嘴参数!V21</f>
        <v>header  set_bp0=-185.68923944104
set_bp1=368.0917493855
set_bp2=-236.951963487812
set_bp3=63.5675500144208
set_bp4=-5.17598489451577
purge_time=120</v>
      </c>
      <c r="D34" t="str">
        <f>喷嘴参数!W21</f>
        <v>header  set_nozzle=1
set_gerr2=-2.6703658876088
set_gerr1=27.2516946445483
set_gerr0=-19.7944081455669
set_s1=-0.052
set_s2=1.1028
set_tr=300
set_v1=0.4644
set_v2=3170.296886</v>
      </c>
    </row>
    <row r="35" spans="1:4">
      <c r="A35" s="1" t="str">
        <f>喷嘴参数!A22</f>
        <v>G23_PILOT_008</v>
      </c>
      <c r="B35" t="str">
        <f>喷嘴参数!U22</f>
        <v>header  set_nozzle=0
set_gerr2=-0.240139283537276
set_gerr1=2.9093504149719
set_gerr0=-0.517189135924653
set_s1=-0.052
set_s2=1.1028
set_tr=300</v>
      </c>
      <c r="C35" t="str">
        <f>喷嘴参数!V22</f>
        <v>header  set_bp0=-186.177106780405
set_bp1=368.495099595798
set_bp2=-237.580612005222
set_bp3=63.8438030364117
set_bp4=-5.21239892175003
purge_time=120</v>
      </c>
      <c r="D35" t="str">
        <f>喷嘴参数!W22</f>
        <v>header  set_nozzle=1
set_gerr2=-2.4487720018934
set_gerr1=25.3110623290802
set_gerr0=-15.9227067368693
set_s1=-0.052
set_s2=1.1028
set_tr=300
set_v1=0.4644
set_v2=3143.241576</v>
      </c>
    </row>
    <row r="36" spans="1:1">
      <c r="A36" s="1"/>
    </row>
    <row r="46" spans="1:1">
      <c r="A46" s="2"/>
    </row>
    <row r="47" spans="1:1">
      <c r="A47" s="2"/>
    </row>
    <row r="48" spans="1:1">
      <c r="A48" s="2"/>
    </row>
    <row r="57" spans="1:1">
      <c r="A57" s="2"/>
    </row>
    <row r="58" spans="1:1">
      <c r="A58" s="2"/>
    </row>
    <row r="59" spans="1:1">
      <c r="A59" s="2"/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气体参数</vt:lpstr>
      <vt:lpstr>喷嘴参数</vt:lpstr>
      <vt:lpstr>版本控制</vt:lpstr>
      <vt:lpstr>cmd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karl li</dc:creator>
  <cp:lastModifiedBy>GH0050</cp:lastModifiedBy>
  <dcterms:created xsi:type="dcterms:W3CDTF">2015-06-05T18:17:00Z</dcterms:created>
  <dcterms:modified xsi:type="dcterms:W3CDTF">2026-06-12T00:07:24Z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B7D282666AF247F788375C1D5978ED87_12</vt:lpwstr>
  </property>
  <property fmtid="{D5CDD505-2E9C-101B-9397-08002B2CF9AE}" pid="3" name="KSOProductBuildVer">
    <vt:lpwstr>2052-12.1.0.16364</vt:lpwstr>
  </property>
</Properties>
</file>