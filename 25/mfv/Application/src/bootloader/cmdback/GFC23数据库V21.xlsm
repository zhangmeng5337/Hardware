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7945" windowHeight="12375" activeTab="3"/>
  </bookViews>
  <sheets>
    <sheet name="气体参数" sheetId="1" r:id="rId1"/>
    <sheet name="喷嘴参数" sheetId="3" r:id="rId2"/>
    <sheet name="版本控制" sheetId="2" r:id="rId3"/>
    <sheet name="cmd" sheetId="4" r:id="rId4"/>
    <sheet name="cal" sheetId="5" r:id="rId5"/>
    <sheet name="mks offset" sheetId="6" r:id="rId6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6" i="6" l="1"/>
  <c r="X17" i="6"/>
  <c r="X18" i="6"/>
  <c r="X19" i="6"/>
  <c r="X20" i="6"/>
  <c r="X21" i="6"/>
  <c r="X22" i="6"/>
  <c r="X23" i="6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D84" i="4" s="1"/>
  <c r="W41" i="3"/>
  <c r="W4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C85" i="4" s="1"/>
  <c r="V42" i="3"/>
  <c r="U15" i="3"/>
  <c r="U16" i="3"/>
  <c r="B60" i="4" s="1"/>
  <c r="U17" i="3"/>
  <c r="U18" i="3"/>
  <c r="U19" i="3"/>
  <c r="U20" i="3"/>
  <c r="U21" i="3"/>
  <c r="U22" i="3"/>
  <c r="U23" i="3"/>
  <c r="U24" i="3"/>
  <c r="B68" i="4" s="1"/>
  <c r="U25" i="3"/>
  <c r="B69" i="4" s="1"/>
  <c r="U26" i="3"/>
  <c r="B70" i="4" s="1"/>
  <c r="U27" i="3"/>
  <c r="U28" i="3"/>
  <c r="U29" i="3"/>
  <c r="U30" i="3"/>
  <c r="U31" i="3"/>
  <c r="U32" i="3"/>
  <c r="B76" i="4" s="1"/>
  <c r="U33" i="3"/>
  <c r="U34" i="3"/>
  <c r="U35" i="3"/>
  <c r="U36" i="3"/>
  <c r="U37" i="3"/>
  <c r="U38" i="3"/>
  <c r="U39" i="3"/>
  <c r="B83" i="4" s="1"/>
  <c r="U40" i="3"/>
  <c r="B84" i="4" s="1"/>
  <c r="U41" i="3"/>
  <c r="B85" i="4" s="1"/>
  <c r="U42" i="3"/>
  <c r="T15" i="3"/>
  <c r="T16" i="3"/>
  <c r="T17" i="3"/>
  <c r="A61" i="4" s="1"/>
  <c r="T18" i="3"/>
  <c r="T19" i="3"/>
  <c r="T20" i="3"/>
  <c r="T21" i="3"/>
  <c r="T22" i="3"/>
  <c r="T23" i="3"/>
  <c r="T24" i="3"/>
  <c r="T25" i="3"/>
  <c r="A69" i="4" s="1"/>
  <c r="T26" i="3"/>
  <c r="T27" i="3"/>
  <c r="T28" i="3"/>
  <c r="T29" i="3"/>
  <c r="T30" i="3"/>
  <c r="A74" i="4" s="1"/>
  <c r="T31" i="3"/>
  <c r="T32" i="3"/>
  <c r="T33" i="3"/>
  <c r="T34" i="3"/>
  <c r="T35" i="3"/>
  <c r="T36" i="3"/>
  <c r="T37" i="3"/>
  <c r="T38" i="3"/>
  <c r="T39" i="3"/>
  <c r="T40" i="3"/>
  <c r="T41" i="3"/>
  <c r="A85" i="4" s="1"/>
  <c r="T42" i="3"/>
  <c r="N3" i="1"/>
  <c r="N4" i="1"/>
  <c r="N5" i="1"/>
  <c r="N6" i="1"/>
  <c r="A14" i="4" s="1"/>
  <c r="N7" i="1"/>
  <c r="A15" i="4" s="1"/>
  <c r="N8" i="1"/>
  <c r="N9" i="1"/>
  <c r="A17" i="4" s="1"/>
  <c r="N10" i="1"/>
  <c r="N11" i="1"/>
  <c r="N12" i="1"/>
  <c r="A20" i="4" s="1"/>
  <c r="N13" i="1"/>
  <c r="N14" i="1"/>
  <c r="N15" i="1"/>
  <c r="N16" i="1"/>
  <c r="N17" i="1"/>
  <c r="A25" i="4" s="1"/>
  <c r="N18" i="1"/>
  <c r="A26" i="4" s="1"/>
  <c r="N19" i="1"/>
  <c r="N20" i="1"/>
  <c r="N21" i="1"/>
  <c r="A29" i="4" s="1"/>
  <c r="N22" i="1"/>
  <c r="A30" i="4" s="1"/>
  <c r="N23" i="1"/>
  <c r="N24" i="1"/>
  <c r="N25" i="1"/>
  <c r="N26" i="1"/>
  <c r="A34" i="4" s="1"/>
  <c r="N27" i="1"/>
  <c r="A35" i="4" s="1"/>
  <c r="N28" i="1"/>
  <c r="A36" i="4" s="1"/>
  <c r="N29" i="1"/>
  <c r="A37" i="4" s="1"/>
  <c r="N30" i="1"/>
  <c r="A38" i="4" s="1"/>
  <c r="N31" i="1"/>
  <c r="N32" i="1"/>
  <c r="A40" i="4" s="1"/>
  <c r="N33" i="1"/>
  <c r="A41" i="4" s="1"/>
  <c r="N34" i="1"/>
  <c r="N35" i="1"/>
  <c r="N36" i="1"/>
  <c r="A44" i="4" s="1"/>
  <c r="N37" i="1"/>
  <c r="N38" i="1"/>
  <c r="A46" i="4" s="1"/>
  <c r="N39" i="1"/>
  <c r="A47" i="4" s="1"/>
  <c r="N40" i="1"/>
  <c r="D86" i="4"/>
  <c r="C86" i="4"/>
  <c r="B86" i="4"/>
  <c r="A86" i="4"/>
  <c r="D85" i="4"/>
  <c r="C84" i="4"/>
  <c r="A84" i="4"/>
  <c r="D83" i="4"/>
  <c r="C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A76" i="4"/>
  <c r="D75" i="4"/>
  <c r="C75" i="4"/>
  <c r="B75" i="4"/>
  <c r="A75" i="4"/>
  <c r="D74" i="4"/>
  <c r="C74" i="4"/>
  <c r="B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A70" i="4"/>
  <c r="D69" i="4"/>
  <c r="C69" i="4"/>
  <c r="D68" i="4"/>
  <c r="C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D60" i="4"/>
  <c r="C60" i="4"/>
  <c r="A60" i="4"/>
  <c r="D59" i="4"/>
  <c r="C59" i="4"/>
  <c r="B59" i="4"/>
  <c r="A59" i="4"/>
  <c r="D58" i="4"/>
  <c r="C58" i="4"/>
  <c r="B58" i="4"/>
  <c r="A58" i="4"/>
  <c r="A57" i="4"/>
  <c r="A56" i="4"/>
  <c r="A55" i="4"/>
  <c r="A54" i="4"/>
  <c r="A53" i="4"/>
  <c r="A52" i="4"/>
  <c r="A51" i="4"/>
  <c r="A50" i="4"/>
  <c r="A49" i="4"/>
  <c r="A48" i="4"/>
  <c r="A45" i="4"/>
  <c r="A43" i="4"/>
  <c r="A42" i="4"/>
  <c r="A39" i="4"/>
  <c r="A33" i="4"/>
  <c r="A32" i="4"/>
  <c r="A31" i="4"/>
  <c r="A28" i="4"/>
  <c r="A27" i="4"/>
  <c r="A24" i="4"/>
  <c r="A23" i="4"/>
  <c r="A22" i="4"/>
  <c r="A21" i="4"/>
  <c r="A19" i="4"/>
  <c r="A18" i="4"/>
  <c r="A16" i="4"/>
  <c r="A13" i="4"/>
  <c r="A12" i="4"/>
  <c r="A11" i="4"/>
  <c r="A10" i="4"/>
  <c r="B5" i="4"/>
  <c r="W15" i="5" l="1"/>
  <c r="V15" i="5"/>
  <c r="E15" i="5" s="1"/>
  <c r="D15" i="5" s="1"/>
  <c r="M23" i="6"/>
  <c r="L23" i="6"/>
  <c r="K23" i="6"/>
  <c r="J23" i="6"/>
  <c r="I23" i="6"/>
  <c r="H23" i="6"/>
  <c r="G23" i="6"/>
  <c r="F23" i="6"/>
  <c r="E23" i="6"/>
  <c r="D23" i="6"/>
  <c r="M22" i="6"/>
  <c r="L22" i="6"/>
  <c r="K22" i="6"/>
  <c r="J22" i="6"/>
  <c r="I22" i="6"/>
  <c r="H22" i="6"/>
  <c r="G22" i="6"/>
  <c r="F22" i="6"/>
  <c r="E22" i="6"/>
  <c r="D22" i="6"/>
  <c r="M21" i="6"/>
  <c r="L21" i="6"/>
  <c r="K21" i="6"/>
  <c r="J21" i="6"/>
  <c r="I21" i="6"/>
  <c r="H21" i="6"/>
  <c r="G21" i="6"/>
  <c r="F21" i="6"/>
  <c r="E21" i="6"/>
  <c r="D21" i="6"/>
  <c r="M20" i="6"/>
  <c r="L20" i="6"/>
  <c r="K20" i="6"/>
  <c r="J20" i="6"/>
  <c r="I20" i="6"/>
  <c r="H20" i="6"/>
  <c r="G20" i="6"/>
  <c r="F20" i="6"/>
  <c r="E20" i="6"/>
  <c r="D20" i="6"/>
  <c r="M19" i="6"/>
  <c r="L19" i="6"/>
  <c r="K19" i="6"/>
  <c r="J19" i="6"/>
  <c r="I19" i="6"/>
  <c r="H19" i="6"/>
  <c r="G19" i="6"/>
  <c r="F19" i="6"/>
  <c r="E19" i="6"/>
  <c r="D19" i="6"/>
  <c r="M18" i="6"/>
  <c r="L18" i="6"/>
  <c r="K18" i="6"/>
  <c r="J18" i="6"/>
  <c r="I18" i="6"/>
  <c r="H18" i="6"/>
  <c r="G18" i="6"/>
  <c r="F18" i="6"/>
  <c r="E18" i="6"/>
  <c r="D18" i="6"/>
  <c r="M17" i="6"/>
  <c r="L17" i="6"/>
  <c r="K17" i="6"/>
  <c r="J17" i="6"/>
  <c r="I17" i="6"/>
  <c r="H17" i="6"/>
  <c r="G17" i="6"/>
  <c r="F17" i="6"/>
  <c r="E17" i="6"/>
  <c r="D17" i="6"/>
  <c r="M16" i="6"/>
  <c r="L16" i="6"/>
  <c r="K16" i="6"/>
  <c r="J16" i="6"/>
  <c r="I16" i="6"/>
  <c r="H16" i="6"/>
  <c r="G16" i="6"/>
  <c r="F16" i="6"/>
  <c r="E16" i="6"/>
  <c r="D16" i="6"/>
  <c r="X15" i="6"/>
  <c r="M15" i="6"/>
  <c r="L15" i="6"/>
  <c r="K15" i="6"/>
  <c r="J15" i="6"/>
  <c r="I15" i="6"/>
  <c r="H15" i="6"/>
  <c r="G15" i="6"/>
  <c r="F15" i="6"/>
  <c r="E15" i="6"/>
  <c r="D15" i="6"/>
  <c r="R93" i="5"/>
  <c r="R92" i="5"/>
  <c r="G44" i="5"/>
  <c r="F44" i="5"/>
  <c r="X15" i="5"/>
  <c r="U15" i="5"/>
  <c r="T15" i="5"/>
  <c r="G15" i="5"/>
  <c r="F15" i="5"/>
  <c r="R7" i="5"/>
  <c r="R36" i="3"/>
  <c r="R35" i="3"/>
  <c r="R34" i="3"/>
  <c r="R33" i="3"/>
  <c r="W14" i="3"/>
  <c r="V14" i="3"/>
  <c r="U14" i="3"/>
  <c r="T14" i="3"/>
  <c r="G21" i="1"/>
  <c r="F21" i="1"/>
  <c r="N2" i="1"/>
  <c r="C15" i="5" l="1"/>
  <c r="O15" i="5" s="1"/>
  <c r="Q15" i="5" s="1"/>
  <c r="N15" i="5" l="1"/>
  <c r="P15" i="5" s="1"/>
</calcChain>
</file>

<file path=xl/sharedStrings.xml><?xml version="1.0" encoding="utf-8"?>
<sst xmlns="http://schemas.openxmlformats.org/spreadsheetml/2006/main" count="423" uniqueCount="252">
  <si>
    <t>GAS ID</t>
  </si>
  <si>
    <t>GAS NAME</t>
  </si>
  <si>
    <t>SHR</t>
  </si>
  <si>
    <t>MW</t>
  </si>
  <si>
    <t>COEFF1</t>
  </si>
  <si>
    <t>COEFF2</t>
  </si>
  <si>
    <t>alpha</t>
  </si>
  <si>
    <t>a</t>
  </si>
  <si>
    <t>b</t>
  </si>
  <si>
    <t>c</t>
  </si>
  <si>
    <t>d</t>
  </si>
  <si>
    <t>HE</t>
  </si>
  <si>
    <t>set_gas=</t>
  </si>
  <si>
    <t>AR</t>
  </si>
  <si>
    <t>set_shr=</t>
  </si>
  <si>
    <t>N2</t>
  </si>
  <si>
    <t>set_mw=</t>
  </si>
  <si>
    <t>CO2</t>
  </si>
  <si>
    <t>set_c1=</t>
  </si>
  <si>
    <t>SF6</t>
  </si>
  <si>
    <t>set_c2=</t>
  </si>
  <si>
    <t>sicl4</t>
  </si>
  <si>
    <t>set_c3=</t>
  </si>
  <si>
    <t>O2</t>
  </si>
  <si>
    <t>set_a=</t>
  </si>
  <si>
    <t>c4f6</t>
  </si>
  <si>
    <t>set_b=</t>
  </si>
  <si>
    <t>ch4</t>
  </si>
  <si>
    <t>set_c=</t>
  </si>
  <si>
    <t>cos</t>
  </si>
  <si>
    <t>set_d=</t>
  </si>
  <si>
    <t>cl2</t>
  </si>
  <si>
    <t xml:space="preserve">header </t>
  </si>
  <si>
    <t>ch2f2</t>
  </si>
  <si>
    <t>chf3</t>
  </si>
  <si>
    <t>hbr</t>
  </si>
  <si>
    <t>cf4</t>
  </si>
  <si>
    <t>nf3</t>
  </si>
  <si>
    <t>ch3f</t>
  </si>
  <si>
    <t>c4f8</t>
  </si>
  <si>
    <t>bcl3</t>
  </si>
  <si>
    <t>sih4</t>
  </si>
  <si>
    <t>H2</t>
  </si>
  <si>
    <t>Xe</t>
  </si>
  <si>
    <t>CO</t>
  </si>
  <si>
    <t>HCl</t>
  </si>
  <si>
    <t>HF</t>
  </si>
  <si>
    <t>F2</t>
  </si>
  <si>
    <t>NO2</t>
  </si>
  <si>
    <t>N2O</t>
  </si>
  <si>
    <t>NH3</t>
  </si>
  <si>
    <t>O3</t>
  </si>
  <si>
    <t>PH3</t>
  </si>
  <si>
    <t>C2H4</t>
  </si>
  <si>
    <t>C2H2</t>
  </si>
  <si>
    <t>BF3</t>
  </si>
  <si>
    <t>B2H6</t>
  </si>
  <si>
    <t>C3H6</t>
  </si>
  <si>
    <t>SiH2Cl2</t>
  </si>
  <si>
    <t>C3H8</t>
  </si>
  <si>
    <t>SO2</t>
  </si>
  <si>
    <t>set_nozzle=0</t>
  </si>
  <si>
    <t>set_bp0=</t>
  </si>
  <si>
    <t>set_v1=</t>
  </si>
  <si>
    <t>set_gerr2=</t>
  </si>
  <si>
    <t>set_bp1=</t>
  </si>
  <si>
    <t>set_v2=</t>
  </si>
  <si>
    <t>set_gerr1=</t>
  </si>
  <si>
    <t>set_bp2=</t>
  </si>
  <si>
    <t>set_gerr0=</t>
  </si>
  <si>
    <t>set_bp3=</t>
  </si>
  <si>
    <t>set_s1=</t>
  </si>
  <si>
    <t>set_bp4=</t>
  </si>
  <si>
    <t>set_s2=</t>
  </si>
  <si>
    <t xml:space="preserve">header  </t>
  </si>
  <si>
    <t>set_tr=</t>
  </si>
  <si>
    <t>purge_time=120</t>
  </si>
  <si>
    <t>set_nozzle=1</t>
  </si>
  <si>
    <t>Serial Number</t>
  </si>
  <si>
    <t>0.2mm</t>
  </si>
  <si>
    <t>0.75mm</t>
  </si>
  <si>
    <t>S1</t>
  </si>
  <si>
    <t>S2</t>
  </si>
  <si>
    <t>Tr</t>
  </si>
  <si>
    <t>BP4</t>
  </si>
  <si>
    <t>BP3</t>
  </si>
  <si>
    <t>BP2</t>
  </si>
  <si>
    <t>BP1</t>
  </si>
  <si>
    <t>BP0</t>
  </si>
  <si>
    <t>体积V1</t>
  </si>
  <si>
    <t>原始体积V2</t>
  </si>
  <si>
    <t>修正后V2</t>
  </si>
  <si>
    <t>说明</t>
  </si>
  <si>
    <t>num</t>
  </si>
  <si>
    <t>nozzle0</t>
  </si>
  <si>
    <t>bp</t>
  </si>
  <si>
    <t>nozzle 1</t>
  </si>
  <si>
    <t>Gerr2</t>
  </si>
  <si>
    <t>Gerr1</t>
  </si>
  <si>
    <t>Gerr0</t>
  </si>
  <si>
    <t>G23_PILOT_001</t>
  </si>
  <si>
    <t>工程样机</t>
  </si>
  <si>
    <t>G23_PILOT_002</t>
  </si>
  <si>
    <t>2025/01/09更新</t>
  </si>
  <si>
    <t>G23_PILOT_003</t>
  </si>
  <si>
    <t>G23_PILOT_001_改喷嘴</t>
  </si>
  <si>
    <t>G23_PILOT_002_改喷嘴</t>
  </si>
  <si>
    <t>G23_PILOT_004</t>
  </si>
  <si>
    <t>G23_PILOT_006</t>
  </si>
  <si>
    <t>G23_PILOT_008</t>
  </si>
  <si>
    <t>G23_PILOT_009</t>
  </si>
  <si>
    <t>G23_PILOT_010</t>
  </si>
  <si>
    <t>G23_PILOT_011</t>
  </si>
  <si>
    <t>G23_PILOT_012</t>
  </si>
  <si>
    <t>G23_PILOT_013</t>
  </si>
  <si>
    <t>G23_PILOT_014</t>
  </si>
  <si>
    <t>G23_PILOT_015</t>
  </si>
  <si>
    <t>G23_PILOT_016</t>
  </si>
  <si>
    <t>G23_PILOT_017</t>
  </si>
  <si>
    <t>G23_PILOT_018</t>
  </si>
  <si>
    <t>G23_PILOT_019</t>
  </si>
  <si>
    <t>G23_PILOT_020</t>
  </si>
  <si>
    <t>G23_PILOT_021</t>
  </si>
  <si>
    <t>G23_PILOT_022</t>
  </si>
  <si>
    <t>G23_PILOT_023</t>
  </si>
  <si>
    <t>G23_PILOT_024</t>
  </si>
  <si>
    <t>G23_PILOT_025</t>
  </si>
  <si>
    <t>G23_PILOT_026</t>
  </si>
  <si>
    <t>G23_PILOT_027</t>
  </si>
  <si>
    <t>G23_PILOT_028</t>
  </si>
  <si>
    <t>版本号</t>
  </si>
  <si>
    <t>修改人</t>
  </si>
  <si>
    <t>时间</t>
  </si>
  <si>
    <t>V1</t>
  </si>
  <si>
    <t>初稿</t>
  </si>
  <si>
    <t>KL</t>
  </si>
  <si>
    <t>V2</t>
  </si>
  <si>
    <t>增加系数a</t>
  </si>
  <si>
    <t>V3</t>
  </si>
  <si>
    <t>修改了alpha命名，增加了abcd</t>
  </si>
  <si>
    <t>V5</t>
  </si>
  <si>
    <t>增加了bp</t>
  </si>
  <si>
    <t>V6</t>
  </si>
  <si>
    <t>增加了pilot002</t>
  </si>
  <si>
    <t>V7</t>
  </si>
  <si>
    <t>增加了PILOT002的bp</t>
  </si>
  <si>
    <t>V8</t>
  </si>
  <si>
    <t>修改COS的 gas id</t>
  </si>
  <si>
    <t>V9</t>
  </si>
  <si>
    <t>加入了PILOT003</t>
  </si>
  <si>
    <t>V10</t>
  </si>
  <si>
    <t>加入了PILOT001_改喷嘴</t>
  </si>
  <si>
    <t>V13</t>
  </si>
  <si>
    <t>加入了004,006,008</t>
  </si>
  <si>
    <t>V14</t>
  </si>
  <si>
    <t>加入体积参数</t>
  </si>
  <si>
    <t>MENK</t>
  </si>
  <si>
    <t>V15</t>
  </si>
  <si>
    <t>增加导出数据库公式处理</t>
  </si>
  <si>
    <t>V16</t>
  </si>
  <si>
    <t>增加了009</t>
  </si>
  <si>
    <t>V17</t>
  </si>
  <si>
    <t>增加了H2，7号气体</t>
  </si>
  <si>
    <t>V18</t>
  </si>
  <si>
    <t>增加了010数据</t>
  </si>
  <si>
    <t>V19</t>
  </si>
  <si>
    <t>增加了011-014的数据，不包含011-013的底压</t>
  </si>
  <si>
    <t>V20</t>
  </si>
  <si>
    <t>增加了014底压</t>
  </si>
  <si>
    <t>V21</t>
  </si>
  <si>
    <t>增加了013底压</t>
  </si>
  <si>
    <t>V22</t>
  </si>
  <si>
    <t>修改G23_PILOT_013体积</t>
  </si>
  <si>
    <t>0.3mm</t>
  </si>
  <si>
    <t>mfv NO.</t>
  </si>
  <si>
    <t>P20</t>
  </si>
  <si>
    <t>P21</t>
  </si>
  <si>
    <t>P1</t>
  </si>
  <si>
    <t>T</t>
  </si>
  <si>
    <t>t</t>
  </si>
  <si>
    <t>R</t>
  </si>
  <si>
    <t>Vm</t>
  </si>
  <si>
    <t>K</t>
  </si>
  <si>
    <t>caliFLow</t>
  </si>
  <si>
    <t>calFLow</t>
  </si>
  <si>
    <t>补偿后流量</t>
  </si>
  <si>
    <t>原始误差</t>
  </si>
  <si>
    <t>补偿后误差</t>
  </si>
  <si>
    <t>detal</t>
  </si>
  <si>
    <t>ABT</t>
  </si>
  <si>
    <t>USO</t>
  </si>
  <si>
    <t>Scorr</t>
  </si>
  <si>
    <t>Gerr</t>
  </si>
  <si>
    <t>BP</t>
  </si>
  <si>
    <t>R3</t>
  </si>
  <si>
    <t>小喷嘴</t>
  </si>
  <si>
    <t>set_gas_MKS=</t>
  </si>
  <si>
    <t>set_s0=</t>
  </si>
  <si>
    <t>set_c0=</t>
  </si>
  <si>
    <t>set_s3=</t>
  </si>
  <si>
    <t>set_s4=</t>
  </si>
  <si>
    <t>set_c4=</t>
  </si>
  <si>
    <t>set_s5=</t>
  </si>
  <si>
    <t>set_c5=</t>
  </si>
  <si>
    <t>set_s6=</t>
  </si>
  <si>
    <t>set_c6=</t>
  </si>
  <si>
    <t>set_s7=</t>
  </si>
  <si>
    <t>set_c7=</t>
  </si>
  <si>
    <t>set_s8=</t>
  </si>
  <si>
    <t>set_c8=</t>
  </si>
  <si>
    <t>set_s9=</t>
  </si>
  <si>
    <t>set_c9=</t>
  </si>
  <si>
    <t>FullRange</t>
  </si>
  <si>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</si>
  <si>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</si>
  <si>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</si>
  <si>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</si>
  <si>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</si>
  <si>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</si>
  <si>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</si>
  <si>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</si>
  <si>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</si>
  <si>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</si>
  <si>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set_cal1</t>
  </si>
  <si>
    <t>set_cal2</t>
  </si>
  <si>
    <t>set_cal3</t>
  </si>
  <si>
    <t>set_cal4</t>
  </si>
  <si>
    <t>set_cal5</t>
  </si>
  <si>
    <t>set_cal6</t>
  </si>
  <si>
    <t>set_cal7</t>
  </si>
  <si>
    <t>set_cal8</t>
  </si>
  <si>
    <t>set_cal9</t>
  </si>
  <si>
    <t>set_cal10</t>
  </si>
  <si>
    <t xml:space="preserve">gas_end_row      </t>
    <phoneticPr fontId="7" type="noConversion"/>
  </si>
  <si>
    <t xml:space="preserve">dev_start_row    </t>
    <phoneticPr fontId="7" type="noConversion"/>
  </si>
  <si>
    <t xml:space="preserve">gas_start_row   </t>
    <phoneticPr fontId="7" type="noConversion"/>
  </si>
  <si>
    <t>dev_end_row</t>
  </si>
  <si>
    <t>base_path</t>
  </si>
  <si>
    <t>export_path</t>
  </si>
  <si>
    <t>D:\GH0050\Application\src\bootloader</t>
  </si>
  <si>
    <t>基准工作目录</t>
  </si>
  <si>
    <t>bat_path</t>
    <phoneticPr fontId="7" type="noConversion"/>
  </si>
  <si>
    <t>包括文件名</t>
  </si>
  <si>
    <t>气体数据起始行</t>
  </si>
  <si>
    <t>气体数据结束行</t>
  </si>
  <si>
    <t>设备数据起始行</t>
  </si>
  <si>
    <t>设备数据结束行</t>
  </si>
  <si>
    <t>导出目录</t>
  </si>
  <si>
    <t xml:space="preserve">name_offset </t>
  </si>
  <si>
    <t>数据库类型</t>
    <phoneticPr fontId="7" type="noConversion"/>
  </si>
  <si>
    <t>D:\GH0050\Application\src\bootloader\export</t>
    <phoneticPr fontId="7" type="noConversion"/>
  </si>
  <si>
    <t>标准数据库(无MKS补偿)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</si>
</sst>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2"/>
      <color theme="1"/>
      <name val="Aptos"/>
      <family val="1"/>
    </font>
    <font>
      <sz val="11"/>
      <color rgb="FFFF0000"/>
      <name val="等线"/>
      <family val="3"/>
      <charset val="134"/>
      <scheme val="minor"/>
    </font>
    <font>
      <sz val="11"/>
      <color indexed="8"/>
      <name val="等线"/>
      <family val="3"/>
      <charset val="134"/>
    </font>
    <font>
      <sz val="12"/>
      <color indexed="8"/>
      <name val="Aptos"/>
      <family val="1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color rgb="FF0F1115"/>
      <name val="Segoe UI"/>
      <family val="2"/>
    </font>
    <font>
      <sz val="11"/>
      <color rgb="FF0F1115"/>
      <name val="Consolas"/>
      <family val="3"/>
    </font>
    <font>
      <sz val="11"/>
      <color rgb="FF0F1115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0" xfId="0" applyFont="1"/>
    <xf numFmtId="10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Font="1" applyAlignment="1">
      <alignment wrapText="1"/>
    </xf>
    <xf numFmtId="16" fontId="0" fillId="0" borderId="0" xfId="0" applyNumberFormat="1"/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wrapText="1"/>
    </xf>
    <xf numFmtId="0" fontId="0" fillId="0" borderId="0" xfId="0" applyAlignment="1">
      <alignment wrapText="1"/>
    </xf>
    <xf numFmtId="0" fontId="5" fillId="0" borderId="0" xfId="0" applyNumberFormat="1" applyFont="1" applyFill="1" applyBorder="1" applyAlignment="1" applyProtection="1"/>
    <xf numFmtId="0" fontId="4" fillId="0" borderId="1" xfId="0" applyNumberFormat="1" applyFont="1" applyFill="1" applyBorder="1" applyAlignment="1" applyProtection="1">
      <alignment horizontal="center" vertical="center"/>
    </xf>
    <xf numFmtId="0" fontId="6" fillId="0" borderId="0" xfId="0" applyFont="1"/>
    <xf numFmtId="0" fontId="0" fillId="0" borderId="0" xfId="0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10" fillId="0" borderId="0" xfId="0" applyFont="1" applyProtection="1"/>
    <xf numFmtId="0" fontId="8" fillId="0" borderId="0" xfId="0" applyFont="1" applyProtection="1"/>
    <xf numFmtId="0" fontId="0" fillId="0" borderId="0" xfId="0" applyAlignment="1" applyProtection="1"/>
    <xf numFmtId="0" fontId="9" fillId="0" borderId="0" xfId="0" applyFont="1" applyProtection="1"/>
    <xf numFmtId="0" fontId="3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2533650</xdr:colOff>
      <xdr:row>1</xdr:row>
      <xdr:rowOff>123825</xdr:rowOff>
    </xdr:from>
    <xdr:to>
      <xdr:col>3</xdr:col>
      <xdr:colOff>4067175</xdr:colOff>
      <xdr:row>4</xdr:row>
      <xdr:rowOff>209550</xdr:rowOff>
    </xdr:to>
    <xdr:sp macro="[0]!Sheet4.一键处理_最终版" textlink="">
      <xdr:nvSpPr>
        <xdr:cNvPr id="2" name="右箭头 1"/>
        <xdr:cNvSpPr/>
      </xdr:nvSpPr>
      <xdr:spPr>
        <a:xfrm>
          <a:off x="11868150" y="333375"/>
          <a:ext cx="1533525" cy="7239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生成初始数据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1"/>
  <sheetViews>
    <sheetView workbookViewId="0">
      <selection activeCell="B46" sqref="B46"/>
    </sheetView>
  </sheetViews>
  <sheetFormatPr defaultColWidth="9" defaultRowHeight="14.25"/>
  <cols>
    <col min="14" max="14" width="56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4">
      <c r="A2">
        <v>1</v>
      </c>
      <c r="B2" t="s">
        <v>11</v>
      </c>
      <c r="C2">
        <v>1.667</v>
      </c>
      <c r="D2">
        <v>4.0019999999999998</v>
      </c>
      <c r="E2">
        <v>1.115</v>
      </c>
      <c r="F2">
        <v>0.36302531892261097</v>
      </c>
      <c r="G2">
        <v>0.48709216944070099</v>
      </c>
      <c r="H2">
        <v>1</v>
      </c>
      <c r="I2">
        <v>0</v>
      </c>
      <c r="J2">
        <v>0</v>
      </c>
      <c r="K2">
        <v>0</v>
      </c>
      <c r="M2" s="1" t="s">
        <v>12</v>
      </c>
      <c r="N2" s="1" t="str">
        <f>$M$12&amp;($M$2&amp;A2)&amp;CHAR(10)&amp;$M$3&amp;C2&amp;CHAR(10)&amp;$M$4&amp;D2&amp;CHAR(10)&amp;$M$5&amp;E2&amp;CHAR(10)&amp;$M$6&amp;F2&amp;CHAR(10)&amp;$M$7&amp;G2&amp;CHAR(10)&amp;$M$8&amp;H2&amp;CHAR(10)&amp;$M$9&amp;I2&amp;CHAR(10)&amp;$M$10&amp;J2&amp;CHAR(10)&amp;$M$11&amp;K2</f>
        <v>header set_gas=1
set_shr=1.667
set_mw=4.002
set_c1=1.115
set_c2=0.363025318922611
set_c3=0.487092169440701
set_a=1
set_b=0
set_c=0
set_d=0</v>
      </c>
    </row>
    <row r="3" spans="1:14">
      <c r="A3">
        <v>4</v>
      </c>
      <c r="B3" t="s">
        <v>13</v>
      </c>
      <c r="C3">
        <v>1.667</v>
      </c>
      <c r="D3">
        <v>39.948</v>
      </c>
      <c r="E3">
        <v>1.2689999999999999</v>
      </c>
      <c r="F3">
        <v>0.114902092344169</v>
      </c>
      <c r="G3">
        <v>0.48709216944070099</v>
      </c>
      <c r="H3">
        <v>1</v>
      </c>
      <c r="I3">
        <v>0</v>
      </c>
      <c r="J3">
        <v>0</v>
      </c>
      <c r="K3">
        <v>0</v>
      </c>
      <c r="M3" s="1" t="s">
        <v>14</v>
      </c>
      <c r="N3" s="1" t="str">
        <f t="shared" ref="N3:N40" si="0">$M$12&amp;($M$2&amp;A3)&amp;CHAR(10)&amp;$M$3&amp;C3&amp;CHAR(10)&amp;$M$4&amp;D3&amp;CHAR(10)&amp;$M$5&amp;E3&amp;CHAR(10)&amp;$M$6&amp;F3&amp;CHAR(10)&amp;$M$7&amp;G3&amp;CHAR(10)&amp;$M$8&amp;H3&amp;CHAR(10)&amp;$M$9&amp;I3&amp;CHAR(10)&amp;$M$10&amp;J3&amp;CHAR(10)&amp;$M$11&amp;K3</f>
        <v>header set_gas=4
set_shr=1.667
set_mw=39.948
set_c1=1.269
set_c2=0.114902092344169
set_c3=0.487092169440701
set_a=1
set_b=0
set_c=0
set_d=0</v>
      </c>
    </row>
    <row r="4" spans="1:14">
      <c r="A4">
        <v>13</v>
      </c>
      <c r="B4" t="s">
        <v>15</v>
      </c>
      <c r="C4">
        <v>1.4</v>
      </c>
      <c r="D4">
        <v>28</v>
      </c>
      <c r="E4">
        <v>1</v>
      </c>
      <c r="F4">
        <v>0.12940208203123801</v>
      </c>
      <c r="G4">
        <v>0.52828178771717405</v>
      </c>
      <c r="H4">
        <v>1</v>
      </c>
      <c r="I4">
        <v>0</v>
      </c>
      <c r="J4">
        <v>0</v>
      </c>
      <c r="K4">
        <v>0</v>
      </c>
      <c r="M4" s="1" t="s">
        <v>16</v>
      </c>
      <c r="N4" s="1" t="str">
        <f t="shared" si="0"/>
        <v>header set_gas=13
set_shr=1.4
set_mw=28
set_c1=1
set_c2=0.129402082031238
set_c3=0.528281787717174
set_a=1
set_b=0
set_c=0
set_d=0</v>
      </c>
    </row>
    <row r="5" spans="1:14">
      <c r="A5">
        <v>25</v>
      </c>
      <c r="B5" t="s">
        <v>17</v>
      </c>
      <c r="C5">
        <v>1.2889999999999999</v>
      </c>
      <c r="D5">
        <v>44.01</v>
      </c>
      <c r="E5">
        <v>0.83660000000000001</v>
      </c>
      <c r="F5">
        <v>0.100281321601283</v>
      </c>
      <c r="G5">
        <v>0.54772350162801897</v>
      </c>
      <c r="H5">
        <v>1</v>
      </c>
      <c r="I5">
        <v>0</v>
      </c>
      <c r="J5">
        <v>0</v>
      </c>
      <c r="K5">
        <v>0</v>
      </c>
      <c r="M5" s="1" t="s">
        <v>18</v>
      </c>
      <c r="N5" s="1" t="str">
        <f t="shared" si="0"/>
        <v>header set_gas=25
set_shr=1.289
set_mw=44.01
set_c1=0.8366
set_c2=0.100281321601283
set_c3=0.547723501628019
set_a=1
set_b=0
set_c=0
set_d=0</v>
      </c>
    </row>
    <row r="6" spans="1:14">
      <c r="A6">
        <v>110</v>
      </c>
      <c r="B6" t="s">
        <v>19</v>
      </c>
      <c r="C6">
        <v>1.1000000000000001</v>
      </c>
      <c r="D6">
        <v>146</v>
      </c>
      <c r="E6">
        <v>0.85299999999999998</v>
      </c>
      <c r="F6">
        <v>5.2003464130204097E-2</v>
      </c>
      <c r="G6">
        <v>0.58467928908643696</v>
      </c>
      <c r="H6">
        <v>1</v>
      </c>
      <c r="I6">
        <v>0</v>
      </c>
      <c r="J6">
        <v>0</v>
      </c>
      <c r="K6">
        <v>0</v>
      </c>
      <c r="M6" s="1" t="s">
        <v>20</v>
      </c>
      <c r="N6" s="1" t="str">
        <f t="shared" si="0"/>
        <v>header set_gas=110
set_shr=1.1
set_mw=146
set_c1=0.853
set_c2=0.0520034641302041
set_c3=0.584679289086437
set_a=1
set_b=0
set_c=0
set_d=0</v>
      </c>
    </row>
    <row r="7" spans="1:14">
      <c r="A7">
        <v>108</v>
      </c>
      <c r="B7" t="s">
        <v>21</v>
      </c>
      <c r="C7">
        <v>1.1000000000000001</v>
      </c>
      <c r="D7">
        <v>169.9</v>
      </c>
      <c r="E7">
        <v>0.98</v>
      </c>
      <c r="F7">
        <v>4.8207211727469501E-2</v>
      </c>
      <c r="G7">
        <v>0.58467928908643696</v>
      </c>
      <c r="H7">
        <v>4.0031999999999996</v>
      </c>
      <c r="I7">
        <v>1149.8</v>
      </c>
      <c r="J7">
        <v>-43.04</v>
      </c>
      <c r="K7">
        <v>20</v>
      </c>
      <c r="M7" s="1" t="s">
        <v>22</v>
      </c>
      <c r="N7" s="1" t="str">
        <f t="shared" si="0"/>
        <v>header set_gas=108
set_shr=1.1
set_mw=169.9
set_c1=0.98
set_c2=0.0482072117274695
set_c3=0.584679289086437
set_a=4.0032
set_b=1149.8
set_c=-43.04
set_d=20</v>
      </c>
    </row>
    <row r="8" spans="1:14">
      <c r="A8">
        <v>15</v>
      </c>
      <c r="B8" t="s">
        <v>23</v>
      </c>
      <c r="C8">
        <v>1.4</v>
      </c>
      <c r="D8">
        <v>32</v>
      </c>
      <c r="E8">
        <v>1.1499999999999999</v>
      </c>
      <c r="F8">
        <v>0.121044564024027</v>
      </c>
      <c r="G8">
        <v>0.52828178771717405</v>
      </c>
      <c r="H8">
        <v>1</v>
      </c>
      <c r="I8">
        <v>0</v>
      </c>
      <c r="J8">
        <v>0</v>
      </c>
      <c r="K8">
        <v>0</v>
      </c>
      <c r="M8" s="1" t="s">
        <v>24</v>
      </c>
      <c r="N8" s="1" t="str">
        <f t="shared" si="0"/>
        <v>header set_gas=15
set_shr=1.4
set_mw=32
set_c1=1.15
set_c2=0.121044564024027
set_c3=0.528281787717174
set_a=1
set_b=0
set_c=0
set_d=0</v>
      </c>
    </row>
    <row r="9" spans="1:14">
      <c r="A9">
        <v>297</v>
      </c>
      <c r="B9" t="s">
        <v>25</v>
      </c>
      <c r="C9">
        <v>1.06</v>
      </c>
      <c r="D9">
        <v>162</v>
      </c>
      <c r="E9">
        <v>0.85299999999999998</v>
      </c>
      <c r="F9">
        <v>4.8699339154876897E-2</v>
      </c>
      <c r="G9">
        <v>0.59321077406381995</v>
      </c>
      <c r="H9">
        <v>0.06</v>
      </c>
      <c r="I9">
        <v>0</v>
      </c>
      <c r="J9">
        <v>0</v>
      </c>
      <c r="K9">
        <v>0</v>
      </c>
      <c r="M9" s="1" t="s">
        <v>26</v>
      </c>
      <c r="N9" s="1" t="str">
        <f t="shared" si="0"/>
        <v>header set_gas=297
set_shr=1.06
set_mw=162
set_c1=0.853
set_c2=0.0486993391548769
set_c3=0.59321077406382
set_a=0.06
set_b=0
set_c=0
set_d=0</v>
      </c>
    </row>
    <row r="10" spans="1:14">
      <c r="A10">
        <v>28</v>
      </c>
      <c r="B10" t="s">
        <v>27</v>
      </c>
      <c r="C10">
        <v>1.32</v>
      </c>
      <c r="D10">
        <v>16</v>
      </c>
      <c r="E10">
        <v>0.57999999999999996</v>
      </c>
      <c r="F10">
        <v>0.167713013820073</v>
      </c>
      <c r="G10">
        <v>0.54213917985174698</v>
      </c>
      <c r="H10">
        <v>1</v>
      </c>
      <c r="I10">
        <v>0</v>
      </c>
      <c r="J10">
        <v>0</v>
      </c>
      <c r="K10">
        <v>0</v>
      </c>
      <c r="M10" s="1" t="s">
        <v>28</v>
      </c>
      <c r="N10" s="1" t="str">
        <f t="shared" si="0"/>
        <v>header set_gas=28
set_shr=1.32
set_mw=16
set_c1=0.58
set_c2=0.167713013820073
set_c3=0.542139179851747
set_a=1
set_b=0
set_c=0
set_d=0</v>
      </c>
    </row>
    <row r="11" spans="1:14">
      <c r="A11">
        <v>34</v>
      </c>
      <c r="B11" t="s">
        <v>29</v>
      </c>
      <c r="C11">
        <v>1.25</v>
      </c>
      <c r="D11">
        <v>60</v>
      </c>
      <c r="E11">
        <v>0.69</v>
      </c>
      <c r="F11">
        <v>8.4955799305999197E-2</v>
      </c>
      <c r="G11">
        <v>0.55492895730664304</v>
      </c>
      <c r="H11">
        <v>1</v>
      </c>
      <c r="I11">
        <v>0</v>
      </c>
      <c r="J11">
        <v>0</v>
      </c>
      <c r="K11">
        <v>0</v>
      </c>
      <c r="M11" s="1" t="s">
        <v>30</v>
      </c>
      <c r="N11" s="1" t="str">
        <f t="shared" si="0"/>
        <v>header set_gas=34
set_shr=1.25
set_mw=60
set_c1=0.69
set_c2=0.0849557993059992
set_c3=0.554928957306643
set_a=1
set_b=0
set_c=0
set_d=0</v>
      </c>
    </row>
    <row r="12" spans="1:14">
      <c r="A12">
        <v>19</v>
      </c>
      <c r="B12" t="s">
        <v>31</v>
      </c>
      <c r="C12">
        <v>1.33</v>
      </c>
      <c r="D12">
        <v>71</v>
      </c>
      <c r="E12">
        <v>0.76800000000000002</v>
      </c>
      <c r="F12">
        <v>7.9826305683284596E-2</v>
      </c>
      <c r="G12">
        <v>0.54036401763594999</v>
      </c>
      <c r="H12">
        <v>1</v>
      </c>
      <c r="I12">
        <v>0</v>
      </c>
      <c r="J12">
        <v>0</v>
      </c>
      <c r="K12">
        <v>0</v>
      </c>
      <c r="M12" t="s">
        <v>32</v>
      </c>
      <c r="N12" s="1" t="str">
        <f t="shared" si="0"/>
        <v>header set_gas=19
set_shr=1.33
set_mw=71
set_c1=0.768
set_c2=0.0798263056832846
set_c3=0.54036401763595
set_a=1
set_b=0
set_c=0
set_d=0</v>
      </c>
    </row>
    <row r="13" spans="1:14">
      <c r="A13">
        <v>160</v>
      </c>
      <c r="B13" t="s">
        <v>33</v>
      </c>
      <c r="C13">
        <v>1.24</v>
      </c>
      <c r="D13">
        <v>52</v>
      </c>
      <c r="E13">
        <v>0.81</v>
      </c>
      <c r="F13">
        <v>9.0996578908725007E-2</v>
      </c>
      <c r="G13">
        <v>0.55680981603013802</v>
      </c>
      <c r="H13">
        <v>4.2619999999999996</v>
      </c>
      <c r="I13">
        <v>821.09</v>
      </c>
      <c r="J13">
        <v>-28.55</v>
      </c>
      <c r="K13">
        <v>0</v>
      </c>
      <c r="N13" s="1" t="str">
        <f t="shared" si="0"/>
        <v>header set_gas=160
set_shr=1.24
set_mw=52
set_c1=0.81
set_c2=0.090996578908725
set_c3=0.556809816030138
set_a=4.262
set_b=821.09
set_c=-28.55
set_d=0</v>
      </c>
    </row>
    <row r="14" spans="1:14">
      <c r="A14">
        <v>49</v>
      </c>
      <c r="B14" t="s">
        <v>34</v>
      </c>
      <c r="C14">
        <v>1.19</v>
      </c>
      <c r="D14">
        <v>70</v>
      </c>
      <c r="E14">
        <v>0.82</v>
      </c>
      <c r="F14">
        <v>7.7281344410312106E-2</v>
      </c>
      <c r="G14">
        <v>0.56642595860257805</v>
      </c>
      <c r="H14">
        <v>1</v>
      </c>
      <c r="I14">
        <v>0</v>
      </c>
      <c r="J14">
        <v>0</v>
      </c>
      <c r="K14">
        <v>0</v>
      </c>
      <c r="N14" s="1" t="str">
        <f t="shared" si="0"/>
        <v>header set_gas=49
set_shr=1.19
set_mw=70
set_c1=0.82
set_c2=0.0772813444103121
set_c3=0.566425958602578
set_a=1
set_b=0
set_c=0
set_d=0</v>
      </c>
    </row>
    <row r="15" spans="1:14">
      <c r="A15">
        <v>10</v>
      </c>
      <c r="B15" t="s">
        <v>35</v>
      </c>
      <c r="C15">
        <v>1.38</v>
      </c>
      <c r="D15">
        <v>81</v>
      </c>
      <c r="E15">
        <v>1.07</v>
      </c>
      <c r="F15">
        <v>7.5703465350841895E-2</v>
      </c>
      <c r="G15">
        <v>0.53167378278377397</v>
      </c>
      <c r="H15">
        <v>4.1500000000000004</v>
      </c>
      <c r="I15">
        <v>754.97</v>
      </c>
      <c r="J15">
        <v>-25.085999999999999</v>
      </c>
      <c r="K15">
        <v>0</v>
      </c>
      <c r="N15" s="1" t="str">
        <f t="shared" si="0"/>
        <v>header set_gas=10
set_shr=1.38
set_mw=81
set_c1=1.07
set_c2=0.0757034653508419
set_c3=0.531673782783774
set_a=4.15
set_b=754.97
set_c=-25.086
set_d=0</v>
      </c>
    </row>
    <row r="16" spans="1:14">
      <c r="A16">
        <v>63</v>
      </c>
      <c r="B16" t="s">
        <v>36</v>
      </c>
      <c r="C16">
        <v>1.18</v>
      </c>
      <c r="D16">
        <v>88</v>
      </c>
      <c r="E16">
        <v>1.01</v>
      </c>
      <c r="F16">
        <v>6.8716563128562599E-2</v>
      </c>
      <c r="G16">
        <v>0.56839272873334201</v>
      </c>
      <c r="H16">
        <v>1</v>
      </c>
      <c r="I16">
        <v>0</v>
      </c>
      <c r="J16">
        <v>0</v>
      </c>
      <c r="K16">
        <v>0</v>
      </c>
      <c r="N16" s="1" t="str">
        <f t="shared" si="0"/>
        <v>header set_gas=63
set_shr=1.18
set_mw=88
set_c1=1.01
set_c2=0.0687165631285626
set_c3=0.568392728733342
set_a=1
set_b=0
set_c=0
set_d=0</v>
      </c>
    </row>
    <row r="17" spans="1:14">
      <c r="A17">
        <v>53</v>
      </c>
      <c r="B17" t="s">
        <v>37</v>
      </c>
      <c r="C17">
        <v>1.18</v>
      </c>
      <c r="D17">
        <v>71</v>
      </c>
      <c r="E17">
        <v>0.97</v>
      </c>
      <c r="F17">
        <v>7.6502141389687806E-2</v>
      </c>
      <c r="G17">
        <v>0.56839272873334201</v>
      </c>
      <c r="H17">
        <v>1</v>
      </c>
      <c r="I17">
        <v>0</v>
      </c>
      <c r="J17">
        <v>0</v>
      </c>
      <c r="K17">
        <v>0</v>
      </c>
      <c r="N17" s="1" t="str">
        <f t="shared" si="0"/>
        <v>header set_gas=53
set_shr=1.18
set_mw=71
set_c1=0.97
set_c2=0.0765021413896878
set_c3=0.568392728733342
set_a=1
set_b=0
set_c=0
set_d=0</v>
      </c>
    </row>
    <row r="18" spans="1:14">
      <c r="A18">
        <v>33</v>
      </c>
      <c r="B18" t="s">
        <v>38</v>
      </c>
      <c r="C18">
        <v>1.28</v>
      </c>
      <c r="D18">
        <v>34</v>
      </c>
      <c r="E18">
        <v>0.67</v>
      </c>
      <c r="F18">
        <v>0.11381027918992399</v>
      </c>
      <c r="G18">
        <v>0.54936822521158302</v>
      </c>
      <c r="H18">
        <v>1</v>
      </c>
      <c r="I18">
        <v>0</v>
      </c>
      <c r="J18">
        <v>0</v>
      </c>
      <c r="K18">
        <v>0</v>
      </c>
      <c r="N18" s="1" t="str">
        <f t="shared" si="0"/>
        <v>header set_gas=33
set_shr=1.28
set_mw=34
set_c1=0.67
set_c2=0.113810279189924
set_c3=0.549368225211583
set_a=1
set_b=0
set_c=0
set_d=0</v>
      </c>
    </row>
    <row r="19" spans="1:14">
      <c r="A19">
        <v>129</v>
      </c>
      <c r="B19" t="s">
        <v>39</v>
      </c>
      <c r="C19">
        <v>1.05</v>
      </c>
      <c r="D19">
        <v>200</v>
      </c>
      <c r="E19">
        <v>0.57999999999999996</v>
      </c>
      <c r="F19">
        <v>4.3675753997299997E-2</v>
      </c>
      <c r="G19">
        <v>0.59538628571593299</v>
      </c>
      <c r="H19">
        <v>4.2539999999999996</v>
      </c>
      <c r="I19">
        <v>1007.4</v>
      </c>
      <c r="J19">
        <v>-30.204999999999998</v>
      </c>
      <c r="K19">
        <v>0</v>
      </c>
      <c r="N19" s="1" t="str">
        <f t="shared" si="0"/>
        <v>header set_gas=129
set_shr=1.05
set_mw=200
set_c1=0.58
set_c2=0.0436757539973
set_c3=0.595386285715933
set_a=4.254
set_b=1007.4
set_c=-30.205
set_d=0</v>
      </c>
    </row>
    <row r="20" spans="1:14">
      <c r="A20">
        <v>70</v>
      </c>
      <c r="B20" t="s">
        <v>40</v>
      </c>
      <c r="C20">
        <v>1.1499999999999999</v>
      </c>
      <c r="D20">
        <v>117.16</v>
      </c>
      <c r="E20">
        <v>0.62</v>
      </c>
      <c r="F20">
        <v>5.9057999999999999E-2</v>
      </c>
      <c r="G20">
        <v>0.57377800000000001</v>
      </c>
      <c r="H20">
        <v>3.9514499999999999</v>
      </c>
      <c r="I20">
        <v>973.995</v>
      </c>
      <c r="J20">
        <v>-38.994</v>
      </c>
      <c r="K20">
        <v>0</v>
      </c>
      <c r="N20" s="1" t="str">
        <f t="shared" si="0"/>
        <v>header set_gas=70
set_shr=1.15
set_mw=117.16
set_c1=0.62
set_c2=0.059058
set_c3=0.573778
set_a=3.95145
set_b=973.995
set_c=-38.994
set_d=0</v>
      </c>
    </row>
    <row r="21" spans="1:14">
      <c r="A21">
        <v>39</v>
      </c>
      <c r="B21" t="s">
        <v>41</v>
      </c>
      <c r="C21">
        <v>1.2689999999999999</v>
      </c>
      <c r="D21">
        <v>32</v>
      </c>
      <c r="E21">
        <v>0.624</v>
      </c>
      <c r="F21">
        <f t="shared" ref="F21" si="1">(1/D21)^0.5*(2*C21/(C21+1))^0.5*(2/(C21+1))^(1/(C21-1))</f>
        <v>0.11695515536821199</v>
      </c>
      <c r="G21">
        <f t="shared" ref="G21" si="2">(2/(C21+1))^(C21/(C21-1))</f>
        <v>0.55139306326529003</v>
      </c>
      <c r="H21">
        <v>1</v>
      </c>
      <c r="I21">
        <v>0</v>
      </c>
      <c r="J21">
        <v>0</v>
      </c>
      <c r="K21">
        <v>0</v>
      </c>
      <c r="N21" s="1" t="str">
        <f t="shared" si="0"/>
        <v>header set_gas=39
set_shr=1.269
set_mw=32
set_c1=0.624
set_c2=0.116955155368212
set_c3=0.55139306326529
set_a=1
set_b=0
set_c=0
set_d=0</v>
      </c>
    </row>
    <row r="22" spans="1:14">
      <c r="A22">
        <v>7</v>
      </c>
      <c r="B22" t="s">
        <v>42</v>
      </c>
      <c r="C22">
        <v>1.41</v>
      </c>
      <c r="D22">
        <v>2</v>
      </c>
      <c r="E22">
        <v>0.5</v>
      </c>
      <c r="F22">
        <v>0.485368572376218</v>
      </c>
      <c r="G22">
        <v>0.52660329279909501</v>
      </c>
      <c r="H22">
        <v>1</v>
      </c>
      <c r="I22">
        <v>0</v>
      </c>
      <c r="J22">
        <v>0</v>
      </c>
      <c r="K22">
        <v>0</v>
      </c>
      <c r="N22" s="1" t="str">
        <f t="shared" si="0"/>
        <v>header set_gas=7
set_shr=1.41
set_mw=2
set_c1=0.5
set_c2=0.485368572376218
set_c3=0.526603292799095
set_a=1
set_b=0
set_c=0
set_d=0</v>
      </c>
    </row>
    <row r="23" spans="1:14">
      <c r="A23">
        <v>6</v>
      </c>
      <c r="B23" t="s">
        <v>43</v>
      </c>
      <c r="C23">
        <v>1.6659999999999999</v>
      </c>
      <c r="D23">
        <v>131.30000000000001</v>
      </c>
      <c r="E23">
        <v>1.29</v>
      </c>
      <c r="F23">
        <v>6.3366162000000004E-2</v>
      </c>
      <c r="G23">
        <v>0.48723355899999998</v>
      </c>
      <c r="H23">
        <v>1</v>
      </c>
      <c r="I23">
        <v>0</v>
      </c>
      <c r="J23">
        <v>0</v>
      </c>
      <c r="K23">
        <v>0</v>
      </c>
      <c r="N23" s="1" t="str">
        <f t="shared" si="0"/>
        <v>header set_gas=6
set_shr=1.666
set_mw=131.3
set_c1=1.29
set_c2=0.063366162
set_c3=0.487233559
set_a=1
set_b=0
set_c=0
set_d=0</v>
      </c>
    </row>
    <row r="24" spans="1:14">
      <c r="A24">
        <v>9</v>
      </c>
      <c r="B24" t="s">
        <v>44</v>
      </c>
      <c r="C24">
        <v>1.39</v>
      </c>
      <c r="D24">
        <v>28</v>
      </c>
      <c r="E24">
        <v>1</v>
      </c>
      <c r="F24">
        <v>0.129081852</v>
      </c>
      <c r="G24">
        <v>0.52997190900000002</v>
      </c>
      <c r="H24">
        <v>1</v>
      </c>
      <c r="I24">
        <v>0</v>
      </c>
      <c r="J24">
        <v>0</v>
      </c>
      <c r="K24">
        <v>0</v>
      </c>
      <c r="N24" s="1" t="str">
        <f t="shared" si="0"/>
        <v>header set_gas=9
set_shr=1.39
set_mw=28
set_c1=1
set_c2=0.129081852
set_c3=0.529971909
set_a=1
set_b=0
set_c=0
set_d=0</v>
      </c>
    </row>
    <row r="25" spans="1:14">
      <c r="A25">
        <v>11</v>
      </c>
      <c r="B25" t="s">
        <v>45</v>
      </c>
      <c r="C25">
        <v>1.4</v>
      </c>
      <c r="D25">
        <v>36.5</v>
      </c>
      <c r="E25">
        <v>0.84</v>
      </c>
      <c r="F25">
        <v>0.11333755700000001</v>
      </c>
      <c r="G25">
        <v>0.52828178800000003</v>
      </c>
      <c r="H25">
        <v>1</v>
      </c>
      <c r="I25">
        <v>0</v>
      </c>
      <c r="J25">
        <v>0</v>
      </c>
      <c r="K25">
        <v>0</v>
      </c>
      <c r="N25" s="1" t="str">
        <f t="shared" si="0"/>
        <v>header set_gas=11
set_shr=1.4
set_mw=36.5
set_c1=0.84
set_c2=0.113337557
set_c3=0.528281788
set_a=1
set_b=0
set_c=0
set_d=0</v>
      </c>
    </row>
    <row r="26" spans="1:14">
      <c r="A26">
        <v>12</v>
      </c>
      <c r="B26" t="s">
        <v>46</v>
      </c>
      <c r="C26">
        <v>1.4</v>
      </c>
      <c r="D26">
        <v>20</v>
      </c>
      <c r="E26">
        <v>0.8</v>
      </c>
      <c r="F26">
        <v>0.15311060800000001</v>
      </c>
      <c r="G26">
        <v>0.52828178800000003</v>
      </c>
      <c r="H26">
        <v>4.91</v>
      </c>
      <c r="I26">
        <v>1556</v>
      </c>
      <c r="J26">
        <v>24</v>
      </c>
      <c r="K26">
        <v>0</v>
      </c>
      <c r="N26" s="1" t="str">
        <f t="shared" si="0"/>
        <v>header set_gas=12
set_shr=1.4
set_mw=20
set_c1=0.8
set_c2=0.153110608
set_c3=0.528281788
set_a=4.91
set_b=1556
set_c=24
set_d=0</v>
      </c>
    </row>
    <row r="27" spans="1:14">
      <c r="A27">
        <v>18</v>
      </c>
      <c r="B27" t="s">
        <v>47</v>
      </c>
      <c r="C27">
        <v>1.36</v>
      </c>
      <c r="D27">
        <v>38</v>
      </c>
      <c r="E27">
        <v>1.28</v>
      </c>
      <c r="F27">
        <v>0.109967515</v>
      </c>
      <c r="G27">
        <v>0.53511330599999996</v>
      </c>
      <c r="H27">
        <v>1</v>
      </c>
      <c r="I27">
        <v>0</v>
      </c>
      <c r="J27">
        <v>0</v>
      </c>
      <c r="K27">
        <v>0</v>
      </c>
      <c r="N27" s="1" t="str">
        <f t="shared" si="0"/>
        <v>header set_gas=18
set_shr=1.36
set_mw=38
set_c1=1.28
set_c2=0.109967515
set_c3=0.535113306
set_a=1
set_b=0
set_c=0
set_d=0</v>
      </c>
    </row>
    <row r="28" spans="1:14">
      <c r="A28">
        <v>26</v>
      </c>
      <c r="B28" t="s">
        <v>48</v>
      </c>
      <c r="C28">
        <v>1.29</v>
      </c>
      <c r="D28">
        <v>46</v>
      </c>
      <c r="E28">
        <v>0.81</v>
      </c>
      <c r="F28">
        <v>9.8115056000000006E-2</v>
      </c>
      <c r="G28">
        <v>0.547541414</v>
      </c>
      <c r="H28">
        <v>3.35</v>
      </c>
      <c r="I28">
        <v>540</v>
      </c>
      <c r="J28">
        <v>-131</v>
      </c>
      <c r="K28">
        <v>0</v>
      </c>
      <c r="N28" s="1" t="str">
        <f t="shared" si="0"/>
        <v>header set_gas=26
set_shr=1.29
set_mw=46
set_c1=0.81
set_c2=0.098115056
set_c3=0.547541414
set_a=3.35
set_b=540
set_c=-131
set_d=0</v>
      </c>
    </row>
    <row r="29" spans="1:14">
      <c r="A29">
        <v>27</v>
      </c>
      <c r="B29" t="s">
        <v>49</v>
      </c>
      <c r="C29">
        <v>1.27</v>
      </c>
      <c r="D29">
        <v>44</v>
      </c>
      <c r="E29">
        <v>0.84</v>
      </c>
      <c r="F29">
        <v>9.9767528999999994E-2</v>
      </c>
      <c r="G29">
        <v>0.55120831800000003</v>
      </c>
      <c r="H29">
        <v>1</v>
      </c>
      <c r="I29">
        <v>0</v>
      </c>
      <c r="J29">
        <v>0</v>
      </c>
      <c r="K29">
        <v>0</v>
      </c>
      <c r="N29" s="1" t="str">
        <f t="shared" si="0"/>
        <v>header set_gas=27
set_shr=1.27
set_mw=44
set_c1=0.84
set_c2=0.099767529
set_c3=0.551208318
set_a=1
set_b=0
set_c=0
set_d=0</v>
      </c>
    </row>
    <row r="30" spans="1:14">
      <c r="A30">
        <v>29</v>
      </c>
      <c r="B30" t="s">
        <v>50</v>
      </c>
      <c r="C30">
        <v>1.3</v>
      </c>
      <c r="D30">
        <v>17</v>
      </c>
      <c r="E30">
        <v>0.56999999999999995</v>
      </c>
      <c r="F30">
        <v>0.16183489100000001</v>
      </c>
      <c r="G30">
        <v>0.54572773399999996</v>
      </c>
      <c r="H30">
        <v>1</v>
      </c>
      <c r="I30">
        <v>0</v>
      </c>
      <c r="J30">
        <v>0</v>
      </c>
      <c r="K30">
        <v>0</v>
      </c>
      <c r="M30" s="7"/>
      <c r="N30" s="1" t="str">
        <f t="shared" si="0"/>
        <v>header set_gas=29
set_shr=1.3
set_mw=17
set_c1=0.57
set_c2=0.161834891
set_c3=0.545727734
set_a=1
set_b=0
set_c=0
set_d=0</v>
      </c>
    </row>
    <row r="31" spans="1:14">
      <c r="A31">
        <v>30</v>
      </c>
      <c r="B31" t="s">
        <v>51</v>
      </c>
      <c r="C31">
        <v>1.27</v>
      </c>
      <c r="D31">
        <v>48</v>
      </c>
      <c r="E31">
        <v>0.84</v>
      </c>
      <c r="F31">
        <v>9.5520137000000005E-2</v>
      </c>
      <c r="G31">
        <v>0.55120831800000003</v>
      </c>
      <c r="H31">
        <v>1</v>
      </c>
      <c r="I31">
        <v>0</v>
      </c>
      <c r="J31">
        <v>0</v>
      </c>
      <c r="K31">
        <v>0</v>
      </c>
      <c r="N31" s="1" t="str">
        <f t="shared" si="0"/>
        <v>header set_gas=30
set_shr=1.27
set_mw=48
set_c1=0.84
set_c2=0.095520137
set_c3=0.551208318
set_a=1
set_b=0
set_c=0
set_d=0</v>
      </c>
    </row>
    <row r="32" spans="1:14">
      <c r="A32">
        <v>31</v>
      </c>
      <c r="B32" t="s">
        <v>52</v>
      </c>
      <c r="C32">
        <v>1.29</v>
      </c>
      <c r="D32">
        <v>34</v>
      </c>
      <c r="E32">
        <v>0.69</v>
      </c>
      <c r="F32">
        <v>0.114123508</v>
      </c>
      <c r="G32">
        <v>0.547541414</v>
      </c>
      <c r="H32">
        <v>1</v>
      </c>
      <c r="I32">
        <v>0</v>
      </c>
      <c r="J32">
        <v>0</v>
      </c>
      <c r="K32">
        <v>0</v>
      </c>
      <c r="N32" s="1" t="str">
        <f t="shared" si="0"/>
        <v>header set_gas=31
set_shr=1.29
set_mw=34
set_c1=0.69
set_c2=0.114123508
set_c3=0.547541414
set_a=1
set_b=0
set_c=0
set_d=0</v>
      </c>
    </row>
    <row r="33" spans="1:14">
      <c r="A33">
        <v>38</v>
      </c>
      <c r="B33" t="s">
        <v>53</v>
      </c>
      <c r="C33">
        <v>1.24</v>
      </c>
      <c r="D33">
        <v>28</v>
      </c>
      <c r="E33">
        <v>0.57999999999999996</v>
      </c>
      <c r="F33">
        <v>0.124007434</v>
      </c>
      <c r="G33">
        <v>0.55680981600000001</v>
      </c>
      <c r="H33">
        <v>1</v>
      </c>
      <c r="I33">
        <v>0</v>
      </c>
      <c r="J33">
        <v>0</v>
      </c>
      <c r="K33">
        <v>0</v>
      </c>
      <c r="N33" s="1" t="str">
        <f t="shared" si="0"/>
        <v>header set_gas=38
set_shr=1.24
set_mw=28
set_c1=0.58
set_c2=0.124007434
set_c3=0.556809816
set_a=1
set_b=0
set_c=0
set_d=0</v>
      </c>
    </row>
    <row r="34" spans="1:14">
      <c r="A34">
        <v>42</v>
      </c>
      <c r="B34" t="s">
        <v>54</v>
      </c>
      <c r="C34">
        <v>1.23</v>
      </c>
      <c r="D34">
        <v>26</v>
      </c>
      <c r="E34">
        <v>0.59</v>
      </c>
      <c r="F34">
        <v>0.128317399</v>
      </c>
      <c r="G34">
        <v>0.55870457900000003</v>
      </c>
      <c r="H34">
        <v>1</v>
      </c>
      <c r="I34">
        <v>0</v>
      </c>
      <c r="J34">
        <v>0</v>
      </c>
      <c r="K34">
        <v>0</v>
      </c>
      <c r="N34" s="1" t="str">
        <f t="shared" si="0"/>
        <v>header set_gas=42
set_shr=1.23
set_mw=26
set_c1=0.59
set_c2=0.128317399
set_c3=0.558704579
set_a=1
set_b=0
set_c=0
set_d=0</v>
      </c>
    </row>
    <row r="35" spans="1:14">
      <c r="A35">
        <v>48</v>
      </c>
      <c r="B35" t="s">
        <v>55</v>
      </c>
      <c r="C35">
        <v>1.2</v>
      </c>
      <c r="D35">
        <v>67.8</v>
      </c>
      <c r="E35">
        <v>0.97</v>
      </c>
      <c r="F35">
        <v>7.8761867999999999E-2</v>
      </c>
      <c r="G35">
        <v>0.56447393000000001</v>
      </c>
      <c r="H35">
        <v>1</v>
      </c>
      <c r="I35">
        <v>0</v>
      </c>
      <c r="J35">
        <v>0</v>
      </c>
      <c r="K35">
        <v>0</v>
      </c>
      <c r="N35" s="1" t="str">
        <f t="shared" si="0"/>
        <v>header set_gas=48
set_shr=1.2
set_mw=67.8
set_c1=0.97
set_c2=0.078761868
set_c3=0.56447393
set_a=1
set_b=0
set_c=0
set_d=0</v>
      </c>
    </row>
    <row r="36" spans="1:14">
      <c r="A36">
        <v>58</v>
      </c>
      <c r="B36" t="s">
        <v>56</v>
      </c>
      <c r="C36">
        <v>1.17</v>
      </c>
      <c r="D36">
        <v>27.7</v>
      </c>
      <c r="E36">
        <v>0.46</v>
      </c>
      <c r="F36">
        <v>0.122103455</v>
      </c>
      <c r="G36">
        <v>0.57037441600000005</v>
      </c>
      <c r="H36">
        <v>1</v>
      </c>
      <c r="I36">
        <v>0</v>
      </c>
      <c r="J36">
        <v>0</v>
      </c>
      <c r="K36">
        <v>0</v>
      </c>
      <c r="N36" s="1" t="str">
        <f t="shared" si="0"/>
        <v>header set_gas=58
set_shr=1.17
set_mw=27.7
set_c1=0.46
set_c2=0.122103455
set_c3=0.570374416
set_a=1
set_b=0
set_c=0
set_d=0</v>
      </c>
    </row>
    <row r="37" spans="1:14">
      <c r="A37">
        <v>61</v>
      </c>
      <c r="B37" t="s">
        <v>57</v>
      </c>
      <c r="C37">
        <v>1.1499999999999999</v>
      </c>
      <c r="D37">
        <v>42</v>
      </c>
      <c r="E37">
        <v>0.52</v>
      </c>
      <c r="F37">
        <v>9.8544020999999996E-2</v>
      </c>
      <c r="G37">
        <v>0.57438325999999995</v>
      </c>
      <c r="H37">
        <v>1</v>
      </c>
      <c r="I37">
        <v>0</v>
      </c>
      <c r="J37">
        <v>0</v>
      </c>
      <c r="K37">
        <v>0</v>
      </c>
      <c r="N37" s="1" t="str">
        <f t="shared" si="0"/>
        <v>header set_gas=61
set_shr=1.15
set_mw=42
set_c1=0.52
set_c2=0.098544021
set_c3=0.57438326
set_a=1
set_b=0
set_c=0
set_d=0</v>
      </c>
    </row>
    <row r="38" spans="1:14">
      <c r="A38">
        <v>67</v>
      </c>
      <c r="B38" t="s">
        <v>58</v>
      </c>
      <c r="C38">
        <v>1.1499999999999999</v>
      </c>
      <c r="D38">
        <v>101</v>
      </c>
      <c r="E38">
        <v>0.66</v>
      </c>
      <c r="F38">
        <v>6.3546881E-2</v>
      </c>
      <c r="G38">
        <v>0.57438325999999995</v>
      </c>
      <c r="H38">
        <v>7.0000000000000007E-2</v>
      </c>
      <c r="I38">
        <v>0</v>
      </c>
      <c r="J38">
        <v>0</v>
      </c>
      <c r="K38">
        <v>0</v>
      </c>
      <c r="N38" s="1" t="str">
        <f t="shared" si="0"/>
        <v>header set_gas=67
set_shr=1.15
set_mw=101
set_c1=0.66
set_c2=0.063546881
set_c3=0.57438326
set_a=0.07
set_b=0
set_c=0
set_d=0</v>
      </c>
    </row>
    <row r="39" spans="1:14">
      <c r="A39">
        <v>89</v>
      </c>
      <c r="B39" t="s">
        <v>59</v>
      </c>
      <c r="C39">
        <v>1.1299999999999999</v>
      </c>
      <c r="D39">
        <v>44.1</v>
      </c>
      <c r="E39">
        <v>0.46</v>
      </c>
      <c r="F39">
        <v>9.5557223999999996E-2</v>
      </c>
      <c r="G39">
        <v>0.57845395399999999</v>
      </c>
      <c r="H39">
        <v>1</v>
      </c>
      <c r="I39">
        <v>0</v>
      </c>
      <c r="J39">
        <v>0</v>
      </c>
      <c r="K39">
        <v>0</v>
      </c>
      <c r="N39" s="1" t="str">
        <f t="shared" si="0"/>
        <v>header set_gas=89
set_shr=1.13
set_mw=44.1
set_c1=0.46
set_c2=0.095557224
set_c3=0.578453954
set_a=1
set_b=0
set_c=0
set_d=0</v>
      </c>
    </row>
    <row r="40" spans="1:14">
      <c r="A40">
        <v>32</v>
      </c>
      <c r="B40" t="s">
        <v>60</v>
      </c>
      <c r="C40">
        <v>1.26</v>
      </c>
      <c r="D40">
        <v>64</v>
      </c>
      <c r="E40">
        <v>0.73</v>
      </c>
      <c r="F40">
        <v>8.2491310999999998E-2</v>
      </c>
      <c r="G40">
        <v>0.55306184400000002</v>
      </c>
      <c r="H40">
        <v>1</v>
      </c>
      <c r="I40">
        <v>0</v>
      </c>
      <c r="J40">
        <v>0</v>
      </c>
      <c r="K40">
        <v>0</v>
      </c>
      <c r="N40" s="1" t="str">
        <f t="shared" si="0"/>
        <v>header set_gas=32
set_shr=1.26
set_mw=64
set_c1=0.73
set_c2=0.082491311
set_c3=0.553061844
set_a=1
set_b=0
set_c=0
set_d=0</v>
      </c>
    </row>
    <row r="41" spans="1:14">
      <c r="N41" s="1"/>
    </row>
  </sheetData>
  <phoneticPr fontId="7" type="noConversion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4"/>
  <sheetViews>
    <sheetView topLeftCell="A16" zoomScale="130" zoomScaleNormal="130" workbookViewId="0">
      <selection activeCell="A46" sqref="A46"/>
    </sheetView>
  </sheetViews>
  <sheetFormatPr defaultColWidth="9" defaultRowHeight="14.25"/>
  <cols>
    <col min="1" max="1" width="27.875" customWidth="1"/>
    <col min="2" max="2" width="17.625" customWidth="1"/>
    <col min="4" max="4" width="9.625" customWidth="1"/>
    <col min="5" max="5" width="8.625" customWidth="1"/>
    <col min="6" max="6" width="9" customWidth="1"/>
    <col min="7" max="7" width="9.625" customWidth="1"/>
    <col min="8" max="8" width="9" customWidth="1"/>
    <col min="9" max="9" width="5.125" customWidth="1"/>
    <col min="10" max="10" width="4.5" customWidth="1"/>
    <col min="11" max="12" width="9" customWidth="1"/>
    <col min="13" max="13" width="7.625" customWidth="1"/>
    <col min="14" max="16" width="9" hidden="1" customWidth="1"/>
    <col min="17" max="18" width="12.625" customWidth="1"/>
    <col min="19" max="20" width="6" customWidth="1"/>
    <col min="23" max="23" width="14.25" customWidth="1"/>
  </cols>
  <sheetData>
    <row r="1" spans="1:23">
      <c r="A1" t="s">
        <v>61</v>
      </c>
      <c r="B1" t="s">
        <v>62</v>
      </c>
      <c r="C1" t="s">
        <v>63</v>
      </c>
    </row>
    <row r="2" spans="1:23">
      <c r="A2" t="s">
        <v>64</v>
      </c>
      <c r="B2" t="s">
        <v>65</v>
      </c>
      <c r="C2" t="s">
        <v>66</v>
      </c>
    </row>
    <row r="3" spans="1:23">
      <c r="A3" t="s">
        <v>67</v>
      </c>
      <c r="B3" t="s">
        <v>68</v>
      </c>
    </row>
    <row r="4" spans="1:23">
      <c r="A4" t="s">
        <v>69</v>
      </c>
      <c r="B4" t="s">
        <v>70</v>
      </c>
    </row>
    <row r="5" spans="1:23">
      <c r="A5" t="s">
        <v>71</v>
      </c>
      <c r="B5" t="s">
        <v>72</v>
      </c>
    </row>
    <row r="6" spans="1:23">
      <c r="A6" t="s">
        <v>73</v>
      </c>
      <c r="B6" t="s">
        <v>74</v>
      </c>
    </row>
    <row r="7" spans="1:23">
      <c r="A7" t="s">
        <v>75</v>
      </c>
      <c r="B7" t="s">
        <v>76</v>
      </c>
    </row>
    <row r="8" spans="1:23">
      <c r="A8" t="s">
        <v>77</v>
      </c>
    </row>
    <row r="12" spans="1:23" s="3" customFormat="1">
      <c r="A12" s="3" t="s">
        <v>78</v>
      </c>
      <c r="B12" s="3" t="s">
        <v>79</v>
      </c>
      <c r="E12" s="3" t="s">
        <v>80</v>
      </c>
      <c r="H12" s="3" t="s">
        <v>81</v>
      </c>
      <c r="I12" s="3" t="s">
        <v>82</v>
      </c>
      <c r="J12" s="3" t="s">
        <v>83</v>
      </c>
      <c r="K12" s="3" t="s">
        <v>84</v>
      </c>
      <c r="L12" s="3" t="s">
        <v>85</v>
      </c>
      <c r="M12" s="3" t="s">
        <v>86</v>
      </c>
      <c r="N12" s="3" t="s">
        <v>87</v>
      </c>
      <c r="O12" s="3" t="s">
        <v>88</v>
      </c>
      <c r="P12" s="3" t="s">
        <v>89</v>
      </c>
      <c r="Q12" s="3" t="s">
        <v>90</v>
      </c>
      <c r="R12" s="3" t="s">
        <v>91</v>
      </c>
      <c r="S12" s="3" t="s">
        <v>92</v>
      </c>
      <c r="T12" s="3" t="s">
        <v>93</v>
      </c>
      <c r="U12" s="3" t="s">
        <v>94</v>
      </c>
      <c r="V12" s="3" t="s">
        <v>95</v>
      </c>
      <c r="W12" s="3" t="s">
        <v>96</v>
      </c>
    </row>
    <row r="13" spans="1:23" s="3" customFormat="1">
      <c r="B13" s="3" t="s">
        <v>97</v>
      </c>
      <c r="C13" s="3" t="s">
        <v>98</v>
      </c>
      <c r="D13" s="3" t="s">
        <v>99</v>
      </c>
      <c r="E13" s="3" t="s">
        <v>97</v>
      </c>
      <c r="F13" s="3" t="s">
        <v>98</v>
      </c>
      <c r="G13" s="3" t="s">
        <v>99</v>
      </c>
    </row>
    <row r="14" spans="1:23">
      <c r="A14" t="s">
        <v>100</v>
      </c>
      <c r="B14">
        <v>-0.33813199999999999</v>
      </c>
      <c r="C14">
        <v>2.8140770000000002</v>
      </c>
      <c r="D14">
        <v>-1.645232</v>
      </c>
      <c r="E14">
        <v>-2.05063</v>
      </c>
      <c r="F14">
        <v>22.548559999999998</v>
      </c>
      <c r="G14">
        <v>-10.3344</v>
      </c>
      <c r="H14">
        <v>-5.1999999999999998E-2</v>
      </c>
      <c r="I14">
        <v>1.1028</v>
      </c>
      <c r="J14">
        <v>300</v>
      </c>
      <c r="K14">
        <v>-6.7396554885895297</v>
      </c>
      <c r="L14">
        <v>87.188622436389707</v>
      </c>
      <c r="M14">
        <v>-375.138679029412</v>
      </c>
      <c r="N14">
        <v>698.40458649347795</v>
      </c>
      <c r="O14">
        <v>-455.63894455437099</v>
      </c>
      <c r="P14">
        <v>0.46439999999999998</v>
      </c>
      <c r="Q14">
        <v>3195</v>
      </c>
      <c r="R14">
        <v>3195.5524099999998</v>
      </c>
      <c r="T14" t="str">
        <f>A14</f>
        <v>G23_PILOT_001</v>
      </c>
      <c r="U14" t="str">
        <f>$B$6&amp;$A$1&amp;CHAR(10)&amp;$A$2&amp;B14&amp;CHAR(10)&amp;$A$3&amp;C14&amp;CHAR(10)&amp;$A$4&amp;D14&amp;CHAR(10)&amp;$A$5&amp;H14&amp;CHAR(10)&amp;$A$6&amp;I14&amp;CHAR(10)&amp;$A$7&amp;J14</f>
        <v>header  set_nozzle=0
set_gerr2=-0.338132
set_gerr1=2.814077
set_gerr0=-1.645232
set_s1=-0.052
set_s2=1.1028
set_tr=300</v>
      </c>
      <c r="V14" t="str">
        <f>$B$6&amp;$B$1&amp;O14&amp;CHAR(10)&amp;$B$2&amp;N14&amp;CHAR(10)&amp;$B$3&amp;M14&amp;CHAR(10)&amp;$B$4&amp;L14&amp;CHAR(10)&amp;$B$5&amp;K14&amp;CHAR(10)&amp;$B$7</f>
        <v>header  set_bp0=-455.638944554371
set_bp1=698.404586493478
set_bp2=-375.138679029412
set_bp3=87.1886224363897
set_bp4=-6.73965548858953
purge_time=120</v>
      </c>
      <c r="W14" t="str">
        <f>$B$6&amp;$A$8&amp;CHAR(10)&amp;$A$2&amp;E14&amp;CHAR(10)&amp;$A$3&amp;F14&amp;CHAR(10)&amp;$A$4&amp;G14&amp;CHAR(10)&amp;$A$5&amp;H14&amp;CHAR(10)&amp;$A$6&amp;I14&amp;CHAR(10)&amp;$A$7&amp;J14&amp;CHAR(10)&amp;$C$1&amp;P14&amp;CHAR(10)&amp;$C$2&amp;R14</f>
        <v>header  set_nozzle=1
set_gerr2=-2.05063
set_gerr1=22.54856
set_gerr0=-10.3344
set_s1=-0.052
set_s2=1.1028
set_tr=300
set_v1=0.4644
set_v2=3195.55241</v>
      </c>
    </row>
    <row r="15" spans="1:23" ht="15.75">
      <c r="A15" t="s">
        <v>101</v>
      </c>
      <c r="B15" s="5">
        <v>-0.13090099999999999</v>
      </c>
      <c r="C15" s="5">
        <v>1.5433110000000001</v>
      </c>
      <c r="D15" s="5">
        <v>-0.775613</v>
      </c>
      <c r="E15" s="5">
        <v>-1.80877</v>
      </c>
      <c r="F15" s="5">
        <v>20.541810000000002</v>
      </c>
      <c r="G15" s="5">
        <v>-9.7404799999999998</v>
      </c>
      <c r="H15">
        <v>-5.1999999999999998E-2</v>
      </c>
      <c r="I15">
        <v>1.1028</v>
      </c>
      <c r="J15" s="5">
        <v>300</v>
      </c>
      <c r="K15" s="5">
        <v>-8.7614999999999998</v>
      </c>
      <c r="L15" s="5">
        <v>113.34</v>
      </c>
      <c r="M15" s="5">
        <v>-487.68</v>
      </c>
      <c r="N15" s="5">
        <v>907.93</v>
      </c>
      <c r="O15" s="5">
        <v>-592.33000000000004</v>
      </c>
      <c r="P15">
        <v>0.46439999999999998</v>
      </c>
      <c r="Q15">
        <v>3195</v>
      </c>
      <c r="R15">
        <v>3195</v>
      </c>
      <c r="T15" t="str">
        <f t="shared" ref="T15:T42" si="0">A15</f>
        <v>工程样机</v>
      </c>
      <c r="U15" t="str">
        <f t="shared" ref="U15:U42" si="1">$B$6&amp;$A$1&amp;CHAR(10)&amp;$A$2&amp;B15&amp;CHAR(10)&amp;$A$3&amp;C15&amp;CHAR(10)&amp;$A$4&amp;D15&amp;CHAR(10)&amp;$A$5&amp;H15&amp;CHAR(10)&amp;$A$6&amp;I15&amp;CHAR(10)&amp;$A$7&amp;J15</f>
        <v>header  set_nozzle=0
set_gerr2=-0.130901
set_gerr1=1.543311
set_gerr0=-0.775613
set_s1=-0.052
set_s2=1.1028
set_tr=300</v>
      </c>
      <c r="V15" t="str">
        <f t="shared" ref="V15:V42" si="2">$B$6&amp;$B$1&amp;O15&amp;CHAR(10)&amp;$B$2&amp;N15&amp;CHAR(10)&amp;$B$3&amp;M15&amp;CHAR(10)&amp;$B$4&amp;L15&amp;CHAR(10)&amp;$B$5&amp;K15&amp;CHAR(10)&amp;$B$7</f>
        <v>header  set_bp0=-592.33
set_bp1=907.93
set_bp2=-487.68
set_bp3=113.34
set_bp4=-8.7615
purge_time=120</v>
      </c>
      <c r="W15" t="str">
        <f t="shared" ref="W15:W42" si="3">$B$6&amp;$A$8&amp;CHAR(10)&amp;$A$2&amp;E15&amp;CHAR(10)&amp;$A$3&amp;F15&amp;CHAR(10)&amp;$A$4&amp;G15&amp;CHAR(10)&amp;$A$5&amp;H15&amp;CHAR(10)&amp;$A$6&amp;I15&amp;CHAR(10)&amp;$A$7&amp;J15&amp;CHAR(10)&amp;$C$1&amp;P15&amp;CHAR(10)&amp;$C$2&amp;R15</f>
        <v>header  set_nozzle=1
set_gerr2=-1.80877
set_gerr1=20.54181
set_gerr0=-9.74048
set_s1=-0.052
set_s2=1.1028
set_tr=300
set_v1=0.4644
set_v2=3195</v>
      </c>
    </row>
    <row r="16" spans="1:23" ht="15.75">
      <c r="A16" t="s">
        <v>102</v>
      </c>
      <c r="B16">
        <v>-0.18542162508070001</v>
      </c>
      <c r="C16">
        <v>1.9169680267538001</v>
      </c>
      <c r="D16">
        <v>-1.40999305747901</v>
      </c>
      <c r="E16">
        <v>-4.5657610190646301</v>
      </c>
      <c r="F16">
        <v>44.304455448528699</v>
      </c>
      <c r="G16">
        <v>-57.436038812065597</v>
      </c>
      <c r="H16">
        <v>-5.1999999999999998E-2</v>
      </c>
      <c r="I16">
        <v>1.1028</v>
      </c>
      <c r="J16" s="5">
        <v>300</v>
      </c>
      <c r="K16">
        <v>-11.251648982377301</v>
      </c>
      <c r="L16">
        <v>154.40745158223399</v>
      </c>
      <c r="M16">
        <v>-725.11479760154805</v>
      </c>
      <c r="N16">
        <v>1478.81013841609</v>
      </c>
      <c r="O16">
        <v>-1080.90411587727</v>
      </c>
      <c r="P16">
        <v>0.46439999999999998</v>
      </c>
      <c r="Q16">
        <v>3186</v>
      </c>
      <c r="R16">
        <v>3178</v>
      </c>
      <c r="S16" t="s">
        <v>103</v>
      </c>
      <c r="T16" t="str">
        <f t="shared" si="0"/>
        <v>G23_PILOT_002</v>
      </c>
      <c r="U16" t="str">
        <f t="shared" si="1"/>
        <v>header  set_nozzle=0
set_gerr2=-0.1854216250807
set_gerr1=1.9169680267538
set_gerr0=-1.40999305747901
set_s1=-0.052
set_s2=1.1028
set_tr=300</v>
      </c>
      <c r="V16" t="str">
        <f t="shared" si="2"/>
        <v>header  set_bp0=-1080.90411587727
set_bp1=1478.81013841609
set_bp2=-725.114797601548
set_bp3=154.407451582234
set_bp4=-11.2516489823773
purge_time=120</v>
      </c>
      <c r="W16" t="str">
        <f t="shared" si="3"/>
        <v>header  set_nozzle=1
set_gerr2=-4.56576101906463
set_gerr1=44.3044554485287
set_gerr0=-57.4360388120656
set_s1=-0.052
set_s2=1.1028
set_tr=300
set_v1=0.4644
set_v2=3178</v>
      </c>
    </row>
    <row r="17" spans="1:23" ht="15.75">
      <c r="A17" t="s">
        <v>104</v>
      </c>
      <c r="B17">
        <v>-0.48090594855137297</v>
      </c>
      <c r="C17">
        <v>4.65347670238517</v>
      </c>
      <c r="D17">
        <v>-1.49310550768043</v>
      </c>
      <c r="E17">
        <v>-4.3290425861030197</v>
      </c>
      <c r="F17">
        <v>42.070737876288703</v>
      </c>
      <c r="G17">
        <v>-51.551858930357902</v>
      </c>
      <c r="H17">
        <v>-5.1999999999999998E-2</v>
      </c>
      <c r="I17">
        <v>1.1028</v>
      </c>
      <c r="J17" s="5">
        <v>300</v>
      </c>
      <c r="K17">
        <v>-14.106183011119199</v>
      </c>
      <c r="L17">
        <v>195.66123310039899</v>
      </c>
      <c r="M17">
        <v>-938.62557947154698</v>
      </c>
      <c r="N17">
        <v>1947.9645605580899</v>
      </c>
      <c r="O17">
        <v>-1453.5292052402001</v>
      </c>
      <c r="P17">
        <v>0.46439999999999998</v>
      </c>
      <c r="Q17">
        <v>3135.7858660000002</v>
      </c>
      <c r="R17">
        <v>3189</v>
      </c>
      <c r="T17" t="str">
        <f t="shared" si="0"/>
        <v>G23_PILOT_003</v>
      </c>
      <c r="U17" t="str">
        <f t="shared" si="1"/>
        <v>header  set_nozzle=0
set_gerr2=-0.480905948551373
set_gerr1=4.65347670238517
set_gerr0=-1.49310550768043
set_s1=-0.052
set_s2=1.1028
set_tr=300</v>
      </c>
      <c r="V17" t="str">
        <f t="shared" si="2"/>
        <v>header  set_bp0=-1453.5292052402
set_bp1=1947.96456055809
set_bp2=-938.625579471547
set_bp3=195.661233100399
set_bp4=-14.1061830111192
purge_time=120</v>
      </c>
      <c r="W17" t="str">
        <f t="shared" si="3"/>
        <v>header  set_nozzle=1
set_gerr2=-4.32904258610302
set_gerr1=42.0707378762887
set_gerr0=-51.5518589303579
set_s1=-0.052
set_s2=1.1028
set_tr=300
set_v1=0.4644
set_v2=3189</v>
      </c>
    </row>
    <row r="18" spans="1:23">
      <c r="A18" t="s">
        <v>105</v>
      </c>
      <c r="B18">
        <v>-0.61938483958160095</v>
      </c>
      <c r="C18">
        <v>6.0034633671039703</v>
      </c>
      <c r="D18">
        <v>-2.3330726502605201</v>
      </c>
      <c r="E18">
        <v>-2.05063</v>
      </c>
      <c r="F18">
        <v>22.548559999999998</v>
      </c>
      <c r="G18">
        <v>-10.3344</v>
      </c>
      <c r="H18">
        <v>-5.1999999999999998E-2</v>
      </c>
      <c r="I18">
        <v>1.1028</v>
      </c>
      <c r="J18">
        <v>300</v>
      </c>
      <c r="K18">
        <v>-5.5109501918868702</v>
      </c>
      <c r="L18">
        <v>68.6443991098254</v>
      </c>
      <c r="M18">
        <v>-259.41613826665002</v>
      </c>
      <c r="N18">
        <v>409.72945005738501</v>
      </c>
      <c r="O18">
        <v>-208.778662860889</v>
      </c>
      <c r="P18">
        <v>0.46439999999999998</v>
      </c>
      <c r="Q18">
        <v>3195</v>
      </c>
      <c r="R18">
        <v>3195</v>
      </c>
      <c r="T18" t="str">
        <f t="shared" si="0"/>
        <v>G23_PILOT_001_改喷嘴</v>
      </c>
      <c r="U18" t="str">
        <f t="shared" si="1"/>
        <v>header  set_nozzle=0
set_gerr2=-0.619384839581601
set_gerr1=6.00346336710397
set_gerr0=-2.33307265026052
set_s1=-0.052
set_s2=1.1028
set_tr=300</v>
      </c>
      <c r="V18" t="str">
        <f t="shared" si="2"/>
        <v>header  set_bp0=-208.778662860889
set_bp1=409.729450057385
set_bp2=-259.41613826665
set_bp3=68.6443991098254
set_bp4=-5.51095019188687
purge_time=120</v>
      </c>
      <c r="W18" t="str">
        <f t="shared" si="3"/>
        <v>header  set_nozzle=1
set_gerr2=-2.05063
set_gerr1=22.54856
set_gerr0=-10.3344
set_s1=-0.052
set_s2=1.1028
set_tr=300
set_v1=0.4644
set_v2=3195</v>
      </c>
    </row>
    <row r="19" spans="1:23">
      <c r="A19" t="s">
        <v>106</v>
      </c>
      <c r="B19">
        <v>-0.32862675583523199</v>
      </c>
      <c r="C19">
        <v>3.3141443374848798</v>
      </c>
      <c r="D19">
        <v>-0.83253823998076804</v>
      </c>
      <c r="E19">
        <v>-4.5657610190646301</v>
      </c>
      <c r="F19">
        <v>44.304455448528699</v>
      </c>
      <c r="G19">
        <v>-57.436038812065597</v>
      </c>
      <c r="H19">
        <v>-5.1999999999999998E-2</v>
      </c>
      <c r="I19">
        <v>1.1028</v>
      </c>
      <c r="J19">
        <v>300</v>
      </c>
      <c r="K19">
        <v>-5.1791096962242298</v>
      </c>
      <c r="L19">
        <v>63.126969122863997</v>
      </c>
      <c r="M19">
        <v>-231.01559351869901</v>
      </c>
      <c r="N19">
        <v>353.78002402822</v>
      </c>
      <c r="O19">
        <v>-174.12568249367999</v>
      </c>
      <c r="P19">
        <v>0.46439999999999998</v>
      </c>
      <c r="Q19">
        <v>3186.4517089999999</v>
      </c>
      <c r="R19">
        <v>3178</v>
      </c>
      <c r="T19" t="str">
        <f t="shared" si="0"/>
        <v>G23_PILOT_002_改喷嘴</v>
      </c>
      <c r="U19" t="str">
        <f t="shared" si="1"/>
        <v>header  set_nozzle=0
set_gerr2=-0.328626755835232
set_gerr1=3.31414433748488
set_gerr0=-0.832538239980768
set_s1=-0.052
set_s2=1.1028
set_tr=300</v>
      </c>
      <c r="V19" t="str">
        <f t="shared" si="2"/>
        <v>header  set_bp0=-174.12568249368
set_bp1=353.78002402822
set_bp2=-231.015593518699
set_bp3=63.126969122864
set_bp4=-5.17910969622423
purge_time=120</v>
      </c>
      <c r="W19" t="str">
        <f t="shared" si="3"/>
        <v>header  set_nozzle=1
set_gerr2=-4.56576101906463
set_gerr1=44.3044554485287
set_gerr0=-57.4360388120656
set_s1=-0.052
set_s2=1.1028
set_tr=300
set_v1=0.4644
set_v2=3178</v>
      </c>
    </row>
    <row r="20" spans="1:23">
      <c r="A20" t="s">
        <v>107</v>
      </c>
      <c r="B20">
        <v>-0.39432378898833098</v>
      </c>
      <c r="C20">
        <v>3.7604065992857101</v>
      </c>
      <c r="D20">
        <v>-1.56521407002074</v>
      </c>
      <c r="E20">
        <v>-4.4486345189764904</v>
      </c>
      <c r="F20">
        <v>43.196020701704398</v>
      </c>
      <c r="G20">
        <v>-53.906343551852601</v>
      </c>
      <c r="H20">
        <v>-5.1999999999999998E-2</v>
      </c>
      <c r="I20">
        <v>1.1028</v>
      </c>
      <c r="J20">
        <v>300</v>
      </c>
      <c r="K20">
        <v>-4.9945437430130299</v>
      </c>
      <c r="L20">
        <v>61.8417356214756</v>
      </c>
      <c r="M20">
        <v>-231.51962611406699</v>
      </c>
      <c r="N20">
        <v>360.830904566161</v>
      </c>
      <c r="O20">
        <v>-182.363556503213</v>
      </c>
      <c r="P20">
        <v>0.46439999999999998</v>
      </c>
      <c r="Q20">
        <v>3153.7201679999998</v>
      </c>
      <c r="R20">
        <v>3153.7201679999998</v>
      </c>
      <c r="T20" t="str">
        <f t="shared" si="0"/>
        <v>G23_PILOT_004</v>
      </c>
      <c r="U20" t="str">
        <f t="shared" si="1"/>
        <v>header  set_nozzle=0
set_gerr2=-0.394323788988331
set_gerr1=3.76040659928571
set_gerr0=-1.56521407002074
set_s1=-0.052
set_s2=1.1028
set_tr=300</v>
      </c>
      <c r="V20" t="str">
        <f t="shared" si="2"/>
        <v>header  set_bp0=-182.363556503213
set_bp1=360.830904566161
set_bp2=-231.519626114067
set_bp3=61.8417356214756
set_bp4=-4.99454374301303
purge_time=120</v>
      </c>
      <c r="W20" t="str">
        <f t="shared" si="3"/>
        <v>header  set_nozzle=1
set_gerr2=-4.44863451897649
set_gerr1=43.1960207017044
set_gerr0=-53.9063435518526
set_s1=-0.052
set_s2=1.1028
set_tr=300
set_v1=0.4644
set_v2=3153.720168</v>
      </c>
    </row>
    <row r="21" spans="1:23">
      <c r="A21" t="s">
        <v>108</v>
      </c>
      <c r="B21">
        <v>-0.30415660808999301</v>
      </c>
      <c r="C21">
        <v>3.3755036205000901</v>
      </c>
      <c r="D21">
        <v>-1.41381991991565</v>
      </c>
      <c r="E21">
        <v>-2.6703658876088001</v>
      </c>
      <c r="F21">
        <v>27.251694644548301</v>
      </c>
      <c r="G21">
        <v>-19.794408145566901</v>
      </c>
      <c r="H21">
        <v>-5.1999999999999998E-2</v>
      </c>
      <c r="I21">
        <v>1.1028</v>
      </c>
      <c r="J21">
        <v>300</v>
      </c>
      <c r="K21">
        <v>-5.1759848945157696</v>
      </c>
      <c r="L21">
        <v>63.567550014420803</v>
      </c>
      <c r="M21">
        <v>-236.95196348781201</v>
      </c>
      <c r="N21">
        <v>368.09174938550001</v>
      </c>
      <c r="O21">
        <v>-185.68923944104</v>
      </c>
      <c r="P21">
        <v>0.46439999999999998</v>
      </c>
      <c r="Q21">
        <v>3170.2968860000001</v>
      </c>
      <c r="R21">
        <v>3193.5</v>
      </c>
      <c r="T21" t="str">
        <f t="shared" si="0"/>
        <v>G23_PILOT_006</v>
      </c>
      <c r="U21" t="str">
        <f t="shared" si="1"/>
        <v>header  set_nozzle=0
set_gerr2=-0.304156608089993
set_gerr1=3.37550362050009
set_gerr0=-1.41381991991565
set_s1=-0.052
set_s2=1.1028
set_tr=300</v>
      </c>
      <c r="V21" t="str">
        <f t="shared" si="2"/>
        <v>header  set_bp0=-185.68923944104
set_bp1=368.0917493855
set_bp2=-236.951963487812
set_bp3=63.5675500144208
set_bp4=-5.17598489451577
purge_time=120</v>
      </c>
      <c r="W21" t="str">
        <f t="shared" si="3"/>
        <v>header  set_nozzle=1
set_gerr2=-2.6703658876088
set_gerr1=27.2516946445483
set_gerr0=-19.7944081455669
set_s1=-0.052
set_s2=1.1028
set_tr=300
set_v1=0.4644
set_v2=3193.5</v>
      </c>
    </row>
    <row r="22" spans="1:23">
      <c r="A22" t="s">
        <v>109</v>
      </c>
      <c r="B22">
        <v>-0.24013928353727601</v>
      </c>
      <c r="C22">
        <v>2.9093504149718998</v>
      </c>
      <c r="D22">
        <v>-0.51718913592465299</v>
      </c>
      <c r="E22">
        <v>-2.4487720018934001</v>
      </c>
      <c r="F22">
        <v>25.311062329080201</v>
      </c>
      <c r="G22">
        <v>-15.9227067368693</v>
      </c>
      <c r="H22">
        <v>-5.1999999999999998E-2</v>
      </c>
      <c r="I22">
        <v>1.1028</v>
      </c>
      <c r="J22">
        <v>300</v>
      </c>
      <c r="K22">
        <v>-5.2123989217500304</v>
      </c>
      <c r="L22">
        <v>63.8438030364117</v>
      </c>
      <c r="M22">
        <v>-237.58061200522201</v>
      </c>
      <c r="N22">
        <v>368.49509959579802</v>
      </c>
      <c r="O22">
        <v>-186.17710678040501</v>
      </c>
      <c r="P22">
        <v>0.46439999999999998</v>
      </c>
      <c r="Q22">
        <v>3143.2415759999999</v>
      </c>
      <c r="R22">
        <v>3177.6</v>
      </c>
      <c r="T22" t="str">
        <f t="shared" si="0"/>
        <v>G23_PILOT_008</v>
      </c>
      <c r="U22" t="str">
        <f t="shared" si="1"/>
        <v>header  set_nozzle=0
set_gerr2=-0.240139283537276
set_gerr1=2.9093504149719
set_gerr0=-0.517189135924653
set_s1=-0.052
set_s2=1.1028
set_tr=300</v>
      </c>
      <c r="V22" t="str">
        <f t="shared" si="2"/>
        <v>header  set_bp0=-186.177106780405
set_bp1=368.495099595798
set_bp2=-237.580612005222
set_bp3=63.8438030364117
set_bp4=-5.21239892175003
purge_time=120</v>
      </c>
      <c r="W22" t="str">
        <f t="shared" si="3"/>
        <v>header  set_nozzle=1
set_gerr2=-2.4487720018934
set_gerr1=25.3110623290802
set_gerr0=-15.9227067368693
set_s1=-0.052
set_s2=1.1028
set_tr=300
set_v1=0.4644
set_v2=3177.6</v>
      </c>
    </row>
    <row r="23" spans="1:23">
      <c r="A23" t="s">
        <v>110</v>
      </c>
      <c r="B23">
        <v>-0.162104973520345</v>
      </c>
      <c r="C23">
        <v>2.4930778200919699</v>
      </c>
      <c r="D23">
        <v>-0.18286754178947301</v>
      </c>
      <c r="E23">
        <v>-2.6176090872467199</v>
      </c>
      <c r="F23">
        <v>26.524102762752701</v>
      </c>
      <c r="G23">
        <v>-18.437457631002601</v>
      </c>
      <c r="H23">
        <v>-5.1999999999999998E-2</v>
      </c>
      <c r="I23">
        <v>1.1028</v>
      </c>
      <c r="J23">
        <v>300</v>
      </c>
      <c r="K23">
        <v>-5.2127157269919904</v>
      </c>
      <c r="L23">
        <v>64.008584291967097</v>
      </c>
      <c r="M23">
        <v>-238.31186625738201</v>
      </c>
      <c r="N23">
        <v>369.92725476679101</v>
      </c>
      <c r="O23">
        <v>-185.19770117034599</v>
      </c>
      <c r="P23">
        <v>0.46439999999999998</v>
      </c>
      <c r="Q23">
        <v>3182.74</v>
      </c>
      <c r="R23">
        <v>3182.7429750000001</v>
      </c>
      <c r="T23" t="str">
        <f t="shared" si="0"/>
        <v>G23_PILOT_009</v>
      </c>
      <c r="U23" t="str">
        <f t="shared" si="1"/>
        <v>header  set_nozzle=0
set_gerr2=-0.162104973520345
set_gerr1=2.49307782009197
set_gerr0=-0.182867541789473
set_s1=-0.052
set_s2=1.1028
set_tr=300</v>
      </c>
      <c r="V23" t="str">
        <f t="shared" si="2"/>
        <v>header  set_bp0=-185.197701170346
set_bp1=369.927254766791
set_bp2=-238.311866257382
set_bp3=64.0085842919671
set_bp4=-5.21271572699199
purge_time=120</v>
      </c>
      <c r="W23" t="str">
        <f t="shared" si="3"/>
        <v>header  set_nozzle=1
set_gerr2=-2.61760908724672
set_gerr1=26.5241027627527
set_gerr0=-18.4374576310026
set_s1=-0.052
set_s2=1.1028
set_tr=300
set_v1=0.4644
set_v2=3182.742975</v>
      </c>
    </row>
    <row r="24" spans="1:23">
      <c r="A24" t="s">
        <v>111</v>
      </c>
      <c r="B24">
        <v>-0.26803059301138699</v>
      </c>
      <c r="C24">
        <v>2.91739685247398</v>
      </c>
      <c r="D24">
        <v>-1.1660299141339301</v>
      </c>
      <c r="E24">
        <v>-2.9231487202459001</v>
      </c>
      <c r="F24">
        <v>27.631232735723898</v>
      </c>
      <c r="G24">
        <v>-21.450885602512301</v>
      </c>
      <c r="H24">
        <v>-5.1999999999999998E-2</v>
      </c>
      <c r="I24">
        <v>1.1028</v>
      </c>
      <c r="J24">
        <v>300</v>
      </c>
      <c r="K24">
        <v>-5.4117689740769901</v>
      </c>
      <c r="L24">
        <v>66.1134699426362</v>
      </c>
      <c r="M24">
        <v>-246.84126346625601</v>
      </c>
      <c r="N24">
        <v>384.936934330236</v>
      </c>
      <c r="O24">
        <v>-196.26973130502199</v>
      </c>
      <c r="P24">
        <v>0.46439999999999998</v>
      </c>
      <c r="Q24">
        <v>3147.05</v>
      </c>
      <c r="R24">
        <v>3180.1179999999999</v>
      </c>
      <c r="T24" t="str">
        <f t="shared" si="0"/>
        <v>G23_PILOT_010</v>
      </c>
      <c r="U24" t="str">
        <f t="shared" si="1"/>
        <v>header  set_nozzle=0
set_gerr2=-0.268030593011387
set_gerr1=2.91739685247398
set_gerr0=-1.16602991413393
set_s1=-0.052
set_s2=1.1028
set_tr=300</v>
      </c>
      <c r="V24" t="str">
        <f t="shared" si="2"/>
        <v>header  set_bp0=-196.269731305022
set_bp1=384.936934330236
set_bp2=-246.841263466256
set_bp3=66.1134699426362
set_bp4=-5.41176897407699
purge_time=120</v>
      </c>
      <c r="W24" t="str">
        <f t="shared" si="3"/>
        <v>header  set_nozzle=1
set_gerr2=-2.9231487202459
set_gerr1=27.6312327357239
set_gerr0=-21.4508856025123
set_s1=-0.052
set_s2=1.1028
set_tr=300
set_v1=0.4644
set_v2=3180.118</v>
      </c>
    </row>
    <row r="25" spans="1:23">
      <c r="A25" t="s">
        <v>112</v>
      </c>
      <c r="B25">
        <v>-0.237658341020965</v>
      </c>
      <c r="C25">
        <v>2.7263836644201902</v>
      </c>
      <c r="D25">
        <v>-1.0527719743458199</v>
      </c>
      <c r="E25">
        <v>-2.8210339169623899</v>
      </c>
      <c r="F25">
        <v>26.9965317353026</v>
      </c>
      <c r="G25">
        <v>-20.826162031563701</v>
      </c>
      <c r="H25">
        <v>-5.1999999999999998E-2</v>
      </c>
      <c r="I25">
        <v>1.1028</v>
      </c>
      <c r="J25">
        <v>300</v>
      </c>
      <c r="K25">
        <v>-5.5276278518760504</v>
      </c>
      <c r="L25">
        <v>67.411703752303694</v>
      </c>
      <c r="M25">
        <v>-251.96761078077699</v>
      </c>
      <c r="N25">
        <v>393.24515616566498</v>
      </c>
      <c r="O25">
        <v>-201.03439183269199</v>
      </c>
      <c r="P25">
        <v>0.46439999999999998</v>
      </c>
      <c r="Q25">
        <v>3069.63</v>
      </c>
      <c r="R25">
        <v>3186.6170000000002</v>
      </c>
      <c r="T25" t="str">
        <f t="shared" si="0"/>
        <v>G23_PILOT_011</v>
      </c>
      <c r="U25" t="str">
        <f t="shared" si="1"/>
        <v>header  set_nozzle=0
set_gerr2=-0.237658341020965
set_gerr1=2.72638366442019
set_gerr0=-1.05277197434582
set_s1=-0.052
set_s2=1.1028
set_tr=300</v>
      </c>
      <c r="V25" t="str">
        <f t="shared" si="2"/>
        <v>header  set_bp0=-201.034391832692
set_bp1=393.245156165665
set_bp2=-251.967610780777
set_bp3=67.4117037523037
set_bp4=-5.52762785187605
purge_time=120</v>
      </c>
      <c r="W25" t="str">
        <f t="shared" si="3"/>
        <v>header  set_nozzle=1
set_gerr2=-2.82103391696239
set_gerr1=26.9965317353026
set_gerr0=-20.8261620315637
set_s1=-0.052
set_s2=1.1028
set_tr=300
set_v1=0.4644
set_v2=3186.617</v>
      </c>
    </row>
    <row r="26" spans="1:23">
      <c r="A26" t="s">
        <v>113</v>
      </c>
      <c r="B26">
        <v>-0.25096937378251999</v>
      </c>
      <c r="C26">
        <v>2.8412008352834799</v>
      </c>
      <c r="D26">
        <v>-1.14682154899529</v>
      </c>
      <c r="E26">
        <v>-3.1060344825307502</v>
      </c>
      <c r="F26">
        <v>29.531960180549099</v>
      </c>
      <c r="G26">
        <v>-26.187532419312198</v>
      </c>
      <c r="H26">
        <v>-5.1999999999999998E-2</v>
      </c>
      <c r="I26">
        <v>1.1028</v>
      </c>
      <c r="J26">
        <v>300</v>
      </c>
      <c r="K26" s="6">
        <v>-5.4921016490000003</v>
      </c>
      <c r="L26" s="6">
        <v>67.199697389999997</v>
      </c>
      <c r="M26" s="6">
        <v>-251.75492650000001</v>
      </c>
      <c r="N26" s="6">
        <v>394.18041670000002</v>
      </c>
      <c r="O26" s="6">
        <v>-202.2943636</v>
      </c>
      <c r="P26">
        <v>0.46439999999999998</v>
      </c>
      <c r="Q26">
        <v>3161.85</v>
      </c>
      <c r="R26">
        <v>3161.851326</v>
      </c>
      <c r="T26" t="str">
        <f t="shared" si="0"/>
        <v>G23_PILOT_012</v>
      </c>
      <c r="U26" t="str">
        <f t="shared" si="1"/>
        <v>header  set_nozzle=0
set_gerr2=-0.25096937378252
set_gerr1=2.84120083528348
set_gerr0=-1.14682154899529
set_s1=-0.052
set_s2=1.1028
set_tr=300</v>
      </c>
      <c r="V26" t="str">
        <f t="shared" si="2"/>
        <v>header  set_bp0=-202.2943636
set_bp1=394.1804167
set_bp2=-251.7549265
set_bp3=67.19969739
set_bp4=-5.492101649
purge_time=120</v>
      </c>
      <c r="W26" t="str">
        <f t="shared" si="3"/>
        <v>header  set_nozzle=1
set_gerr2=-3.10603448253075
set_gerr1=29.5319601805491
set_gerr0=-26.1875324193122
set_s1=-0.052
set_s2=1.1028
set_tr=300
set_v1=0.4644
set_v2=3161.851326</v>
      </c>
    </row>
    <row r="27" spans="1:23">
      <c r="A27" s="1" t="s">
        <v>114</v>
      </c>
      <c r="B27">
        <v>-0.26788610327151202</v>
      </c>
      <c r="C27">
        <v>2.9042116436086798</v>
      </c>
      <c r="D27">
        <v>-1.1840186898223399</v>
      </c>
      <c r="E27">
        <v>-2.9123537934240602</v>
      </c>
      <c r="F27">
        <v>27.3867386576567</v>
      </c>
      <c r="G27">
        <v>-20.955255896052201</v>
      </c>
      <c r="H27">
        <v>-5.1999999999999998E-2</v>
      </c>
      <c r="I27">
        <v>1.1028</v>
      </c>
      <c r="J27">
        <v>300</v>
      </c>
      <c r="K27">
        <v>-5.4293399546660597</v>
      </c>
      <c r="L27">
        <v>66.417595745138698</v>
      </c>
      <c r="M27">
        <v>-248.178766475656</v>
      </c>
      <c r="N27">
        <v>387.47900469313601</v>
      </c>
      <c r="O27">
        <v>-198.12551234375101</v>
      </c>
      <c r="P27">
        <v>0.46439999999999998</v>
      </c>
      <c r="Q27">
        <v>3090.23</v>
      </c>
      <c r="R27">
        <v>3181.1849999999999</v>
      </c>
      <c r="T27" t="str">
        <f t="shared" si="0"/>
        <v>G23_PILOT_013</v>
      </c>
      <c r="U27" t="str">
        <f t="shared" si="1"/>
        <v>header  set_nozzle=0
set_gerr2=-0.267886103271512
set_gerr1=2.90421164360868
set_gerr0=-1.18401868982234
set_s1=-0.052
set_s2=1.1028
set_tr=300</v>
      </c>
      <c r="V27" t="str">
        <f t="shared" si="2"/>
        <v>header  set_bp0=-198.125512343751
set_bp1=387.479004693136
set_bp2=-248.178766475656
set_bp3=66.4175957451387
set_bp4=-5.42933995466606
purge_time=120</v>
      </c>
      <c r="W27" t="str">
        <f t="shared" si="3"/>
        <v>header  set_nozzle=1
set_gerr2=-2.91235379342406
set_gerr1=27.3867386576567
set_gerr0=-20.9552558960522
set_s1=-0.052
set_s2=1.1028
set_tr=300
set_v1=0.4644
set_v2=3181.185</v>
      </c>
    </row>
    <row r="28" spans="1:23">
      <c r="A28" t="s">
        <v>115</v>
      </c>
      <c r="B28">
        <v>-0.246226692928559</v>
      </c>
      <c r="C28">
        <v>2.78236033148645</v>
      </c>
      <c r="D28">
        <v>-1.1247196750974</v>
      </c>
      <c r="E28">
        <v>-1.4695139176307701</v>
      </c>
      <c r="F28">
        <v>18.283299148561699</v>
      </c>
      <c r="G28">
        <v>-2.8048939841431202</v>
      </c>
      <c r="H28">
        <v>-5.1999999999999998E-2</v>
      </c>
      <c r="I28">
        <v>1.1028</v>
      </c>
      <c r="J28">
        <v>300</v>
      </c>
      <c r="K28">
        <v>-5.4452472251111201</v>
      </c>
      <c r="L28">
        <v>66.618164058087999</v>
      </c>
      <c r="M28">
        <v>-249.656669785784</v>
      </c>
      <c r="N28">
        <v>391.07222505396197</v>
      </c>
      <c r="O28">
        <v>-200.65324570912</v>
      </c>
      <c r="P28">
        <v>0.46439999999999998</v>
      </c>
      <c r="Q28">
        <v>3163.38</v>
      </c>
      <c r="R28">
        <v>3163.3856569999998</v>
      </c>
      <c r="T28" t="str">
        <f t="shared" si="0"/>
        <v>G23_PILOT_014</v>
      </c>
      <c r="U28" t="str">
        <f t="shared" si="1"/>
        <v>header  set_nozzle=0
set_gerr2=-0.246226692928559
set_gerr1=2.78236033148645
set_gerr0=-1.1247196750974
set_s1=-0.052
set_s2=1.1028
set_tr=300</v>
      </c>
      <c r="V28" t="str">
        <f t="shared" si="2"/>
        <v>header  set_bp0=-200.65324570912
set_bp1=391.072225053962
set_bp2=-249.656669785784
set_bp3=66.618164058088
set_bp4=-5.44524722511112
purge_time=120</v>
      </c>
      <c r="W28" t="str">
        <f t="shared" si="3"/>
        <v>header  set_nozzle=1
set_gerr2=-1.46951391763077
set_gerr1=18.2832991485617
set_gerr0=-2.80489398414312
set_s1=-0.052
set_s2=1.1028
set_tr=300
set_v1=0.4644
set_v2=3163.385657</v>
      </c>
    </row>
    <row r="29" spans="1:23">
      <c r="A29" t="s">
        <v>116</v>
      </c>
      <c r="B29">
        <v>-0.291021959</v>
      </c>
      <c r="C29">
        <v>3.0935521509999999</v>
      </c>
      <c r="D29">
        <v>-1.6192786379999999</v>
      </c>
      <c r="E29">
        <v>-2.9118254659999998</v>
      </c>
      <c r="F29">
        <v>28.503106469999999</v>
      </c>
      <c r="G29">
        <v>-24.480333359999999</v>
      </c>
      <c r="H29">
        <v>-5.1999999999999998E-2</v>
      </c>
      <c r="I29">
        <v>1.1028</v>
      </c>
      <c r="J29">
        <v>300</v>
      </c>
      <c r="K29">
        <v>-5.6000020749999999</v>
      </c>
      <c r="L29">
        <v>68.419887329999995</v>
      </c>
      <c r="M29">
        <v>-256.01488380000001</v>
      </c>
      <c r="N29">
        <v>398.4215926</v>
      </c>
      <c r="O29">
        <v>-203.74509889999999</v>
      </c>
      <c r="P29">
        <v>0.46439999999999998</v>
      </c>
      <c r="Q29">
        <v>3192.196242</v>
      </c>
      <c r="R29">
        <v>3192.196242</v>
      </c>
      <c r="T29" t="str">
        <f t="shared" si="0"/>
        <v>G23_PILOT_015</v>
      </c>
      <c r="U29" t="str">
        <f t="shared" si="1"/>
        <v>header  set_nozzle=0
set_gerr2=-0.291021959
set_gerr1=3.093552151
set_gerr0=-1.619278638
set_s1=-0.052
set_s2=1.1028
set_tr=300</v>
      </c>
      <c r="V29" t="str">
        <f t="shared" si="2"/>
        <v>header  set_bp0=-203.7450989
set_bp1=398.4215926
set_bp2=-256.0148838
set_bp3=68.41988733
set_bp4=-5.600002075
purge_time=120</v>
      </c>
      <c r="W29" t="str">
        <f t="shared" si="3"/>
        <v>header  set_nozzle=1
set_gerr2=-2.911825466
set_gerr1=28.50310647
set_gerr0=-24.48033336
set_s1=-0.052
set_s2=1.1028
set_tr=300
set_v1=0.4644
set_v2=3192.196242</v>
      </c>
    </row>
    <row r="30" spans="1:23">
      <c r="A30" t="s">
        <v>117</v>
      </c>
      <c r="B30">
        <v>-0.27200844499999999</v>
      </c>
      <c r="C30">
        <v>2.9115501579999998</v>
      </c>
      <c r="D30">
        <v>-1.209397179</v>
      </c>
      <c r="E30">
        <v>-2.84429262</v>
      </c>
      <c r="F30">
        <v>27.396217650000001</v>
      </c>
      <c r="G30">
        <v>-22.015861109999999</v>
      </c>
      <c r="H30">
        <v>-5.1999999999999998E-2</v>
      </c>
      <c r="I30">
        <v>1.1028</v>
      </c>
      <c r="J30">
        <v>300</v>
      </c>
      <c r="K30">
        <v>-5.5558391809999996</v>
      </c>
      <c r="L30">
        <v>68.161330000000007</v>
      </c>
      <c r="M30">
        <v>-255.68524600000001</v>
      </c>
      <c r="N30">
        <v>399.52349099999998</v>
      </c>
      <c r="O30">
        <v>-205.37366119999999</v>
      </c>
      <c r="P30">
        <v>0.46439999999999998</v>
      </c>
      <c r="Q30">
        <v>3194.4289330000001</v>
      </c>
      <c r="R30">
        <v>3194.4289330000001</v>
      </c>
      <c r="T30" t="str">
        <f t="shared" si="0"/>
        <v>G23_PILOT_016</v>
      </c>
      <c r="U30" t="str">
        <f t="shared" si="1"/>
        <v>header  set_nozzle=0
set_gerr2=-0.272008445
set_gerr1=2.911550158
set_gerr0=-1.209397179
set_s1=-0.052
set_s2=1.1028
set_tr=300</v>
      </c>
      <c r="V30" t="str">
        <f t="shared" si="2"/>
        <v>header  set_bp0=-205.3736612
set_bp1=399.523491
set_bp2=-255.685246
set_bp3=68.16133
set_bp4=-5.555839181
purge_time=120</v>
      </c>
      <c r="W30" t="str">
        <f t="shared" si="3"/>
        <v>header  set_nozzle=1
set_gerr2=-2.84429262
set_gerr1=27.39621765
set_gerr0=-22.01586111
set_s1=-0.052
set_s2=1.1028
set_tr=300
set_v1=0.4644
set_v2=3194.428933</v>
      </c>
    </row>
    <row r="31" spans="1:23">
      <c r="A31" t="s">
        <v>118</v>
      </c>
      <c r="B31">
        <v>-0.23686537799999999</v>
      </c>
      <c r="C31">
        <v>2.8275624590000001</v>
      </c>
      <c r="D31">
        <v>-1.0536687490000001</v>
      </c>
      <c r="E31">
        <v>-2.8468868660000002</v>
      </c>
      <c r="F31">
        <v>27.69521962</v>
      </c>
      <c r="G31">
        <v>-22.979847929999998</v>
      </c>
      <c r="H31">
        <v>-5.1999999999999998E-2</v>
      </c>
      <c r="I31">
        <v>1.1028</v>
      </c>
      <c r="J31">
        <v>300</v>
      </c>
      <c r="K31">
        <v>-5.5541579040000002</v>
      </c>
      <c r="L31">
        <v>68.100664899999998</v>
      </c>
      <c r="M31">
        <v>-255.06756039999999</v>
      </c>
      <c r="N31">
        <v>397.74557449999998</v>
      </c>
      <c r="O31">
        <v>-204.3110964</v>
      </c>
      <c r="P31">
        <v>0.46439999999999998</v>
      </c>
      <c r="Q31">
        <v>3194.3763410000001</v>
      </c>
      <c r="R31">
        <v>3194.3763410000001</v>
      </c>
      <c r="T31" t="str">
        <f t="shared" si="0"/>
        <v>G23_PILOT_017</v>
      </c>
      <c r="U31" t="str">
        <f t="shared" si="1"/>
        <v>header  set_nozzle=0
set_gerr2=-0.236865378
set_gerr1=2.827562459
set_gerr0=-1.053668749
set_s1=-0.052
set_s2=1.1028
set_tr=300</v>
      </c>
      <c r="V31" t="str">
        <f t="shared" si="2"/>
        <v>header  set_bp0=-204.3110964
set_bp1=397.7455745
set_bp2=-255.0675604
set_bp3=68.1006649
set_bp4=-5.554157904
purge_time=120</v>
      </c>
      <c r="W31" t="str">
        <f t="shared" si="3"/>
        <v>header  set_nozzle=1
set_gerr2=-2.846886866
set_gerr1=27.69521962
set_gerr0=-22.97984793
set_s1=-0.052
set_s2=1.1028
set_tr=300
set_v1=0.4644
set_v2=3194.376341</v>
      </c>
    </row>
    <row r="32" spans="1:23">
      <c r="A32" t="s">
        <v>119</v>
      </c>
      <c r="B32">
        <v>-0.26349748899999997</v>
      </c>
      <c r="C32">
        <v>3.1021653800000002</v>
      </c>
      <c r="D32">
        <v>-1.4630616700000001</v>
      </c>
      <c r="E32">
        <v>-2.9840056929999998</v>
      </c>
      <c r="F32">
        <v>30.492360269999999</v>
      </c>
      <c r="G32">
        <v>-29.40416235</v>
      </c>
      <c r="H32">
        <v>-5.1999999999999998E-2</v>
      </c>
      <c r="I32">
        <v>1.1028</v>
      </c>
      <c r="J32">
        <v>300</v>
      </c>
      <c r="K32">
        <v>-5.6251051570000001</v>
      </c>
      <c r="L32">
        <v>68.667898429999994</v>
      </c>
      <c r="M32">
        <v>-256.95547299999998</v>
      </c>
      <c r="N32">
        <v>401.37097899999998</v>
      </c>
      <c r="O32">
        <v>-206.22197639999999</v>
      </c>
      <c r="P32">
        <v>0.46439999999999998</v>
      </c>
      <c r="Q32">
        <v>3194.8846349999999</v>
      </c>
      <c r="R32">
        <v>3194.8846349999999</v>
      </c>
      <c r="T32" t="str">
        <f t="shared" si="0"/>
        <v>G23_PILOT_018</v>
      </c>
      <c r="U32" t="str">
        <f t="shared" si="1"/>
        <v>header  set_nozzle=0
set_gerr2=-0.263497489
set_gerr1=3.10216538
set_gerr0=-1.46306167
set_s1=-0.052
set_s2=1.1028
set_tr=300</v>
      </c>
      <c r="V32" t="str">
        <f t="shared" si="2"/>
        <v>header  set_bp0=-206.2219764
set_bp1=401.370979
set_bp2=-256.955473
set_bp3=68.66789843
set_bp4=-5.625105157
purge_time=120</v>
      </c>
      <c r="W32" t="str">
        <f t="shared" si="3"/>
        <v>header  set_nozzle=1
set_gerr2=-2.984005693
set_gerr1=30.49236027
set_gerr0=-29.40416235
set_s1=-0.052
set_s2=1.1028
set_tr=300
set_v1=0.4644
set_v2=3194.884635</v>
      </c>
    </row>
    <row r="33" spans="1:23">
      <c r="A33" t="s">
        <v>120</v>
      </c>
      <c r="B33">
        <v>-0.34786690599999998</v>
      </c>
      <c r="C33">
        <v>3.8026300580000001</v>
      </c>
      <c r="D33">
        <v>-1.887415354</v>
      </c>
      <c r="E33">
        <v>-2.8599566090000001</v>
      </c>
      <c r="F33">
        <v>29.434663650000001</v>
      </c>
      <c r="G33">
        <v>-27.099312730000001</v>
      </c>
      <c r="H33">
        <v>-5.1999999999999998E-2</v>
      </c>
      <c r="I33">
        <v>1.1028</v>
      </c>
      <c r="J33">
        <v>300</v>
      </c>
      <c r="K33">
        <v>-3.988950794</v>
      </c>
      <c r="L33">
        <v>52.131645880000001</v>
      </c>
      <c r="M33">
        <v>-201.11577610000001</v>
      </c>
      <c r="N33">
        <v>321.47957259999998</v>
      </c>
      <c r="O33">
        <v>-166.29196239999999</v>
      </c>
      <c r="P33">
        <v>0.46439999999999998</v>
      </c>
      <c r="Q33">
        <v>3186.1666909999999</v>
      </c>
      <c r="R33">
        <f>Q33</f>
        <v>3186.1666909999999</v>
      </c>
      <c r="T33" t="str">
        <f t="shared" si="0"/>
        <v>G23_PILOT_019</v>
      </c>
      <c r="U33" t="str">
        <f t="shared" si="1"/>
        <v>header  set_nozzle=0
set_gerr2=-0.347866906
set_gerr1=3.802630058
set_gerr0=-1.887415354
set_s1=-0.052
set_s2=1.1028
set_tr=300</v>
      </c>
      <c r="V33" t="str">
        <f t="shared" si="2"/>
        <v>header  set_bp0=-166.2919624
set_bp1=321.4795726
set_bp2=-201.1157761
set_bp3=52.13164588
set_bp4=-3.988950794
purge_time=120</v>
      </c>
      <c r="W33" t="str">
        <f t="shared" si="3"/>
        <v>header  set_nozzle=1
set_gerr2=-2.859956609
set_gerr1=29.43466365
set_gerr0=-27.09931273
set_s1=-0.052
set_s2=1.1028
set_tr=300
set_v1=0.4644
set_v2=3186.166691</v>
      </c>
    </row>
    <row r="34" spans="1:23">
      <c r="A34" t="s">
        <v>121</v>
      </c>
      <c r="B34">
        <v>-0.45235294500000001</v>
      </c>
      <c r="C34">
        <v>4.234889184</v>
      </c>
      <c r="D34">
        <v>-1.9443502399999999</v>
      </c>
      <c r="E34">
        <v>-2.9142694659999999</v>
      </c>
      <c r="F34">
        <v>28.876556529999998</v>
      </c>
      <c r="G34">
        <v>-23.402975489999999</v>
      </c>
      <c r="H34">
        <v>-5.1999999999999998E-2</v>
      </c>
      <c r="I34">
        <v>1.1028</v>
      </c>
      <c r="J34">
        <v>300</v>
      </c>
      <c r="K34">
        <v>-4.9933252379999997</v>
      </c>
      <c r="L34">
        <v>63.77408527</v>
      </c>
      <c r="M34">
        <v>-240.8019098</v>
      </c>
      <c r="N34">
        <v>378.63063890000001</v>
      </c>
      <c r="O34">
        <v>-190.9759799</v>
      </c>
      <c r="P34">
        <v>0.46439999999999998</v>
      </c>
      <c r="Q34">
        <v>3190.4885789999998</v>
      </c>
      <c r="R34">
        <f>Q34</f>
        <v>3190.4885789999998</v>
      </c>
      <c r="T34" t="str">
        <f t="shared" si="0"/>
        <v>G23_PILOT_020</v>
      </c>
      <c r="U34" t="str">
        <f t="shared" si="1"/>
        <v>header  set_nozzle=0
set_gerr2=-0.452352945
set_gerr1=4.234889184
set_gerr0=-1.94435024
set_s1=-0.052
set_s2=1.1028
set_tr=300</v>
      </c>
      <c r="V34" t="str">
        <f t="shared" si="2"/>
        <v>header  set_bp0=-190.9759799
set_bp1=378.6306389
set_bp2=-240.8019098
set_bp3=63.77408527
set_bp4=-4.993325238
purge_time=120</v>
      </c>
      <c r="W34" t="str">
        <f t="shared" si="3"/>
        <v>header  set_nozzle=1
set_gerr2=-2.914269466
set_gerr1=28.87655653
set_gerr0=-23.40297549
set_s1=-0.052
set_s2=1.1028
set_tr=300
set_v1=0.4644
set_v2=3190.488579</v>
      </c>
    </row>
    <row r="35" spans="1:23">
      <c r="A35" t="s">
        <v>122</v>
      </c>
      <c r="B35">
        <v>-0.39131245399999998</v>
      </c>
      <c r="C35">
        <v>3.9630748489999998</v>
      </c>
      <c r="D35">
        <v>-1.8978883289999999</v>
      </c>
      <c r="E35">
        <v>-3.047411163</v>
      </c>
      <c r="F35">
        <v>29.946393830000002</v>
      </c>
      <c r="G35">
        <v>-24.920275889999999</v>
      </c>
      <c r="H35">
        <v>-5.1999999999999998E-2</v>
      </c>
      <c r="I35">
        <v>1.1028</v>
      </c>
      <c r="J35">
        <v>300</v>
      </c>
      <c r="K35">
        <v>-4.9110500000000004</v>
      </c>
      <c r="L35">
        <v>62.016750000000002</v>
      </c>
      <c r="M35">
        <v>-233.43199999999999</v>
      </c>
      <c r="N35">
        <v>366.73059999999998</v>
      </c>
      <c r="O35">
        <v>-185.46799999999999</v>
      </c>
      <c r="P35">
        <v>0.46439999999999998</v>
      </c>
      <c r="Q35">
        <v>3160.45</v>
      </c>
      <c r="R35">
        <f>Q35</f>
        <v>3160.45</v>
      </c>
      <c r="T35" t="str">
        <f t="shared" si="0"/>
        <v>G23_PILOT_021</v>
      </c>
      <c r="U35" t="str">
        <f t="shared" si="1"/>
        <v>header  set_nozzle=0
set_gerr2=-0.391312454
set_gerr1=3.963074849
set_gerr0=-1.897888329
set_s1=-0.052
set_s2=1.1028
set_tr=300</v>
      </c>
      <c r="V35" t="str">
        <f t="shared" si="2"/>
        <v>header  set_bp0=-185.468
set_bp1=366.7306
set_bp2=-233.432
set_bp3=62.01675
set_bp4=-4.91105
purge_time=120</v>
      </c>
      <c r="W35" t="str">
        <f t="shared" si="3"/>
        <v>header  set_nozzle=1
set_gerr2=-3.047411163
set_gerr1=29.94639383
set_gerr0=-24.92027589
set_s1=-0.052
set_s2=1.1028
set_tr=300
set_v1=0.4644
set_v2=3160.45</v>
      </c>
    </row>
    <row r="36" spans="1:23">
      <c r="A36" t="s">
        <v>123</v>
      </c>
      <c r="B36">
        <v>-0.35197699999999998</v>
      </c>
      <c r="C36">
        <v>3.7901069999999999</v>
      </c>
      <c r="D36">
        <v>-1.6853750000000001</v>
      </c>
      <c r="E36">
        <v>-2.83005</v>
      </c>
      <c r="F36">
        <v>28.010439999999999</v>
      </c>
      <c r="G36">
        <v>-20.639399999999998</v>
      </c>
      <c r="H36">
        <v>-5.1999999999999998E-2</v>
      </c>
      <c r="I36">
        <v>1.1028</v>
      </c>
      <c r="J36">
        <v>300</v>
      </c>
      <c r="K36">
        <v>-5.1145380119999997</v>
      </c>
      <c r="L36">
        <v>63.977478980000001</v>
      </c>
      <c r="M36">
        <v>-239.97045689999999</v>
      </c>
      <c r="N36">
        <v>375.55126519999999</v>
      </c>
      <c r="O36">
        <v>-188.9543621</v>
      </c>
      <c r="P36">
        <v>0.46439999999999998</v>
      </c>
      <c r="Q36">
        <v>3165.92</v>
      </c>
      <c r="R36">
        <f>Q36</f>
        <v>3165.92</v>
      </c>
      <c r="T36" t="str">
        <f t="shared" si="0"/>
        <v>G23_PILOT_022</v>
      </c>
      <c r="U36" t="str">
        <f t="shared" si="1"/>
        <v>header  set_nozzle=0
set_gerr2=-0.351977
set_gerr1=3.790107
set_gerr0=-1.685375
set_s1=-0.052
set_s2=1.1028
set_tr=300</v>
      </c>
      <c r="V36" t="str">
        <f t="shared" si="2"/>
        <v>header  set_bp0=-188.9543621
set_bp1=375.5512652
set_bp2=-239.9704569
set_bp3=63.97747898
set_bp4=-5.114538012
purge_time=120</v>
      </c>
      <c r="W36" t="str">
        <f t="shared" si="3"/>
        <v>header  set_nozzle=1
set_gerr2=-2.83005
set_gerr1=28.01044
set_gerr0=-20.6394
set_s1=-0.052
set_s2=1.1028
set_tr=300
set_v1=0.4644
set_v2=3165.92</v>
      </c>
    </row>
    <row r="37" spans="1:23" s="9" customFormat="1" ht="15.75">
      <c r="A37" s="9" t="s">
        <v>124</v>
      </c>
      <c r="B37" s="9">
        <v>-0.394791583514779</v>
      </c>
      <c r="C37" s="9">
        <v>4.0586289180060398</v>
      </c>
      <c r="D37" s="9">
        <v>-2.10295227794344</v>
      </c>
      <c r="E37" s="9">
        <v>-2.9659584642777101</v>
      </c>
      <c r="F37" s="9">
        <v>29.434695975875599</v>
      </c>
      <c r="G37" s="9">
        <v>-24.2854335778378</v>
      </c>
      <c r="H37" s="9">
        <v>-5.1999999999999998E-2</v>
      </c>
      <c r="I37" s="9">
        <v>1.1028</v>
      </c>
      <c r="J37" s="9">
        <v>300</v>
      </c>
      <c r="K37" s="9">
        <v>-5.5573361109716499</v>
      </c>
      <c r="L37" s="9">
        <v>67.677458908930205</v>
      </c>
      <c r="M37" s="9">
        <v>-250.40100158012399</v>
      </c>
      <c r="N37" s="9">
        <v>386.46460061962</v>
      </c>
      <c r="O37" s="9">
        <v>-192.79960839657301</v>
      </c>
      <c r="P37" s="12">
        <v>0.46439999999999998</v>
      </c>
      <c r="Q37" s="13">
        <v>3168.5215064341801</v>
      </c>
      <c r="R37" s="13">
        <v>3168.5215064341801</v>
      </c>
      <c r="T37" t="str">
        <f t="shared" si="0"/>
        <v>G23_PILOT_023</v>
      </c>
      <c r="U37" t="str">
        <f t="shared" si="1"/>
        <v>header  set_nozzle=0
set_gerr2=-0.394791583514779
set_gerr1=4.05862891800604
set_gerr0=-2.10295227794344
set_s1=-0.052
set_s2=1.1028
set_tr=300</v>
      </c>
      <c r="V37" t="str">
        <f t="shared" si="2"/>
        <v>header  set_bp0=-192.799608396573
set_bp1=386.46460061962
set_bp2=-250.401001580124
set_bp3=67.6774589089302
set_bp4=-5.55733611097165
purge_time=120</v>
      </c>
      <c r="W37" t="str">
        <f t="shared" si="3"/>
        <v>header  set_nozzle=1
set_gerr2=-2.96595846427771
set_gerr1=29.4346959758756
set_gerr0=-24.2854335778378
set_s1=-0.052
set_s2=1.1028
set_tr=300
set_v1=0.4644
set_v2=3168.52150643418</v>
      </c>
    </row>
    <row r="38" spans="1:23" s="9" customFormat="1" ht="15.75">
      <c r="A38" s="9" t="s">
        <v>125</v>
      </c>
      <c r="B38" s="9">
        <v>-0.45196102795339599</v>
      </c>
      <c r="C38" s="9">
        <v>4.2580646386296204</v>
      </c>
      <c r="D38" s="9">
        <v>-2.2053240839666799</v>
      </c>
      <c r="E38" s="9">
        <v>-2.9338720229166499</v>
      </c>
      <c r="F38" s="9">
        <v>29.170306793573101</v>
      </c>
      <c r="G38" s="9">
        <v>-23.943003583813699</v>
      </c>
      <c r="H38" s="9">
        <v>-5.1999999999999998E-2</v>
      </c>
      <c r="I38" s="9">
        <v>1.1028</v>
      </c>
      <c r="J38" s="9">
        <v>300</v>
      </c>
      <c r="K38" s="9">
        <v>-5.6915373044883797</v>
      </c>
      <c r="L38" s="9">
        <v>69.251920158706895</v>
      </c>
      <c r="M38" s="9">
        <v>-256.46412475203402</v>
      </c>
      <c r="N38" s="9">
        <v>395.736011971381</v>
      </c>
      <c r="O38" s="9">
        <v>-197.46070350878401</v>
      </c>
      <c r="P38" s="12">
        <v>0.46439999999999998</v>
      </c>
      <c r="Q38" s="13">
        <v>3149.9882647304398</v>
      </c>
      <c r="R38" s="13">
        <v>3149.9882647304398</v>
      </c>
      <c r="T38" t="str">
        <f t="shared" si="0"/>
        <v>G23_PILOT_024</v>
      </c>
      <c r="U38" t="str">
        <f t="shared" si="1"/>
        <v>header  set_nozzle=0
set_gerr2=-0.451961027953396
set_gerr1=4.25806463862962
set_gerr0=-2.20532408396668
set_s1=-0.052
set_s2=1.1028
set_tr=300</v>
      </c>
      <c r="V38" t="str">
        <f t="shared" si="2"/>
        <v>header  set_bp0=-197.460703508784
set_bp1=395.736011971381
set_bp2=-256.464124752034
set_bp3=69.2519201587069
set_bp4=-5.69153730448838
purge_time=120</v>
      </c>
      <c r="W38" t="str">
        <f t="shared" si="3"/>
        <v>header  set_nozzle=1
set_gerr2=-2.93387202291665
set_gerr1=29.1703067935731
set_gerr0=-23.9430035838137
set_s1=-0.052
set_s2=1.1028
set_tr=300
set_v1=0.4644
set_v2=3149.98826473044</v>
      </c>
    </row>
    <row r="39" spans="1:23" s="9" customFormat="1" ht="15.75">
      <c r="A39" s="9" t="s">
        <v>126</v>
      </c>
      <c r="B39" s="9">
        <v>-0.457917934243738</v>
      </c>
      <c r="C39" s="9">
        <v>4.4950913343382197</v>
      </c>
      <c r="D39" s="9">
        <v>-2.2138373507397802</v>
      </c>
      <c r="E39" s="9">
        <v>-2.69293946507337</v>
      </c>
      <c r="F39" s="9">
        <v>26.744405870849199</v>
      </c>
      <c r="G39" s="10">
        <v>-17.941531050987301</v>
      </c>
      <c r="H39" s="9">
        <v>-5.1999999999999998E-2</v>
      </c>
      <c r="I39" s="9">
        <v>1.1028</v>
      </c>
      <c r="J39" s="9">
        <v>300</v>
      </c>
      <c r="K39" s="9">
        <v>-5.9137894366914496</v>
      </c>
      <c r="L39" s="9">
        <v>71.724860395676799</v>
      </c>
      <c r="M39" s="9">
        <v>-266.12770661443199</v>
      </c>
      <c r="N39" s="9">
        <v>411.38211864498197</v>
      </c>
      <c r="O39" s="9">
        <v>-205.64293313888999</v>
      </c>
      <c r="P39" s="12">
        <v>0.46439999999999998</v>
      </c>
      <c r="Q39" s="13">
        <v>3179.5085397724001</v>
      </c>
      <c r="R39" s="13">
        <v>3179.5085397724001</v>
      </c>
      <c r="T39" t="str">
        <f t="shared" si="0"/>
        <v>G23_PILOT_025</v>
      </c>
      <c r="U39" t="str">
        <f t="shared" si="1"/>
        <v>header  set_nozzle=0
set_gerr2=-0.457917934243738
set_gerr1=4.49509133433822
set_gerr0=-2.21383735073978
set_s1=-0.052
set_s2=1.1028
set_tr=300</v>
      </c>
      <c r="V39" t="str">
        <f t="shared" si="2"/>
        <v>header  set_bp0=-205.64293313889
set_bp1=411.382118644982
set_bp2=-266.127706614432
set_bp3=71.7248603956768
set_bp4=-5.91378943669145
purge_time=120</v>
      </c>
      <c r="W39" t="str">
        <f t="shared" si="3"/>
        <v>header  set_nozzle=1
set_gerr2=-2.69293946507337
set_gerr1=26.7444058708492
set_gerr0=-17.9415310509873
set_s1=-0.052
set_s2=1.1028
set_tr=300
set_v1=0.4644
set_v2=3179.5085397724</v>
      </c>
    </row>
    <row r="40" spans="1:23">
      <c r="A40" t="s">
        <v>127</v>
      </c>
      <c r="B40">
        <v>-0.37032832100000002</v>
      </c>
      <c r="C40">
        <v>3.9941105600000002</v>
      </c>
      <c r="D40">
        <v>-2.0205519789999999</v>
      </c>
      <c r="E40">
        <v>-2.8216390470000001</v>
      </c>
      <c r="F40">
        <v>28.208530710000002</v>
      </c>
      <c r="G40">
        <v>-22.661862339999999</v>
      </c>
      <c r="H40">
        <v>-5.1999999999999998E-2</v>
      </c>
      <c r="I40">
        <v>1.1028</v>
      </c>
      <c r="J40">
        <v>300</v>
      </c>
      <c r="K40">
        <v>-4.223693602</v>
      </c>
      <c r="L40">
        <v>55.145743549999999</v>
      </c>
      <c r="M40">
        <v>-208.7133303</v>
      </c>
      <c r="N40">
        <v>327.88177200000001</v>
      </c>
      <c r="O40">
        <v>-163.78065340000001</v>
      </c>
      <c r="P40">
        <v>0.46439999999999998</v>
      </c>
      <c r="Q40">
        <v>3166.7208000000001</v>
      </c>
      <c r="R40">
        <v>3166.7208000000001</v>
      </c>
      <c r="T40" t="str">
        <f t="shared" si="0"/>
        <v>G23_PILOT_026</v>
      </c>
      <c r="U40" t="str">
        <f t="shared" si="1"/>
        <v>header  set_nozzle=0
set_gerr2=-0.370328321
set_gerr1=3.99411056
set_gerr0=-2.020551979
set_s1=-0.052
set_s2=1.1028
set_tr=300</v>
      </c>
      <c r="V40" t="str">
        <f t="shared" si="2"/>
        <v>header  set_bp0=-163.7806534
set_bp1=327.881772
set_bp2=-208.7133303
set_bp3=55.14574355
set_bp4=-4.223693602
purge_time=120</v>
      </c>
      <c r="W40" t="str">
        <f t="shared" si="3"/>
        <v>header  set_nozzle=1
set_gerr2=-2.821639047
set_gerr1=28.20853071
set_gerr0=-22.66186234
set_s1=-0.052
set_s2=1.1028
set_tr=300
set_v1=0.4644
set_v2=3166.7208</v>
      </c>
    </row>
    <row r="41" spans="1:23">
      <c r="A41" t="s">
        <v>128</v>
      </c>
      <c r="B41">
        <v>-0.40696051999999999</v>
      </c>
      <c r="C41">
        <v>4.3080784420000002</v>
      </c>
      <c r="D41">
        <v>-2.250140767</v>
      </c>
      <c r="E41">
        <v>-3.1991932649999999</v>
      </c>
      <c r="F41">
        <v>32.14666819</v>
      </c>
      <c r="G41">
        <v>-33.460835160000002</v>
      </c>
      <c r="H41">
        <v>-5.1999999999999998E-2</v>
      </c>
      <c r="I41">
        <v>1.1028</v>
      </c>
      <c r="J41">
        <v>300</v>
      </c>
      <c r="K41">
        <v>-4.2899791189999998</v>
      </c>
      <c r="L41">
        <v>54.810461029999999</v>
      </c>
      <c r="M41">
        <v>-204.4168592</v>
      </c>
      <c r="N41">
        <v>317.5304989</v>
      </c>
      <c r="O41">
        <v>-157.00457059999999</v>
      </c>
      <c r="P41">
        <v>0.46439999999999998</v>
      </c>
      <c r="Q41">
        <v>3175.1973440000002</v>
      </c>
      <c r="R41">
        <v>3175.1973440000002</v>
      </c>
      <c r="T41" t="str">
        <f t="shared" si="0"/>
        <v>G23_PILOT_027</v>
      </c>
      <c r="U41" t="str">
        <f t="shared" si="1"/>
        <v>header  set_nozzle=0
set_gerr2=-0.40696052
set_gerr1=4.308078442
set_gerr0=-2.250140767
set_s1=-0.052
set_s2=1.1028
set_tr=300</v>
      </c>
      <c r="V41" t="str">
        <f t="shared" si="2"/>
        <v>header  set_bp0=-157.0045706
set_bp1=317.5304989
set_bp2=-204.4168592
set_bp3=54.81046103
set_bp4=-4.289979119
purge_time=120</v>
      </c>
      <c r="W41" t="str">
        <f t="shared" si="3"/>
        <v>header  set_nozzle=1
set_gerr2=-3.199193265
set_gerr1=32.14666819
set_gerr0=-33.46083516
set_s1=-0.052
set_s2=1.1028
set_tr=300
set_v1=0.4644
set_v2=3175.197344</v>
      </c>
    </row>
    <row r="42" spans="1:23" ht="15.75">
      <c r="A42" t="s">
        <v>129</v>
      </c>
      <c r="B42">
        <v>-0.39628302700000001</v>
      </c>
      <c r="C42">
        <v>4.1183041889999998</v>
      </c>
      <c r="D42">
        <v>-1.9414846459999999</v>
      </c>
      <c r="E42">
        <v>-2.1922452880000001</v>
      </c>
      <c r="F42">
        <v>21.245862859999999</v>
      </c>
      <c r="G42" s="5">
        <v>-2.0386563519999998</v>
      </c>
      <c r="H42">
        <v>-5.1999999999999998E-2</v>
      </c>
      <c r="I42">
        <v>1.1028</v>
      </c>
      <c r="J42">
        <v>300</v>
      </c>
      <c r="K42">
        <v>-4.4590076620000003</v>
      </c>
      <c r="L42">
        <v>56.508669789999999</v>
      </c>
      <c r="M42">
        <v>-211.05742330000001</v>
      </c>
      <c r="N42">
        <v>328.79407270000002</v>
      </c>
      <c r="O42">
        <v>-163.1385243</v>
      </c>
      <c r="P42">
        <v>0.46439999999999998</v>
      </c>
      <c r="Q42">
        <v>3140.6149679999999</v>
      </c>
      <c r="R42">
        <v>3140.6149679999999</v>
      </c>
      <c r="T42" t="str">
        <f t="shared" si="0"/>
        <v>G23_PILOT_028</v>
      </c>
      <c r="U42" t="str">
        <f t="shared" si="1"/>
        <v>header  set_nozzle=0
set_gerr2=-0.396283027
set_gerr1=4.118304189
set_gerr0=-1.941484646
set_s1=-0.052
set_s2=1.1028
set_tr=300</v>
      </c>
      <c r="V42" t="str">
        <f t="shared" si="2"/>
        <v>header  set_bp0=-163.1385243
set_bp1=328.7940727
set_bp2=-211.0574233
set_bp3=56.50866979
set_bp4=-4.459007662
purge_time=120</v>
      </c>
      <c r="W42" t="str">
        <f t="shared" si="3"/>
        <v>header  set_nozzle=1
set_gerr2=-2.192245288
set_gerr1=21.24586286
set_gerr0=-2.038656352
set_s1=-0.052
set_s2=1.1028
set_tr=300
set_v1=0.4644
set_v2=3140.614968</v>
      </c>
    </row>
    <row r="43" spans="1:23" ht="15.75">
      <c r="A43" s="14"/>
      <c r="G43" s="5"/>
    </row>
    <row r="44" spans="1:23">
      <c r="A44" s="11"/>
      <c r="B44" s="11"/>
      <c r="C44" s="11"/>
      <c r="G44" s="11"/>
    </row>
  </sheetData>
  <phoneticPr fontId="7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1"/>
  <sheetViews>
    <sheetView workbookViewId="0">
      <selection activeCell="B26" sqref="B26"/>
    </sheetView>
  </sheetViews>
  <sheetFormatPr defaultColWidth="9" defaultRowHeight="14.25"/>
  <cols>
    <col min="2" max="2" width="43.375" customWidth="1"/>
  </cols>
  <sheetData>
    <row r="1" spans="1:4">
      <c r="A1" t="s">
        <v>130</v>
      </c>
      <c r="B1" t="s">
        <v>92</v>
      </c>
      <c r="C1" t="s">
        <v>131</v>
      </c>
      <c r="D1" t="s">
        <v>132</v>
      </c>
    </row>
    <row r="2" spans="1:4">
      <c r="A2" t="s">
        <v>133</v>
      </c>
      <c r="B2" t="s">
        <v>134</v>
      </c>
      <c r="C2" t="s">
        <v>135</v>
      </c>
      <c r="D2" s="8">
        <v>45438</v>
      </c>
    </row>
    <row r="3" spans="1:4">
      <c r="A3" t="s">
        <v>136</v>
      </c>
      <c r="B3" t="s">
        <v>137</v>
      </c>
      <c r="C3" t="s">
        <v>135</v>
      </c>
      <c r="D3" s="8">
        <v>45438</v>
      </c>
    </row>
    <row r="4" spans="1:4">
      <c r="A4" t="s">
        <v>138</v>
      </c>
      <c r="B4" t="s">
        <v>139</v>
      </c>
    </row>
    <row r="5" spans="1:4">
      <c r="A5" t="s">
        <v>140</v>
      </c>
      <c r="B5" t="s">
        <v>141</v>
      </c>
      <c r="C5" t="s">
        <v>135</v>
      </c>
      <c r="D5" s="8">
        <v>45448</v>
      </c>
    </row>
    <row r="6" spans="1:4">
      <c r="A6" t="s">
        <v>142</v>
      </c>
      <c r="B6" t="s">
        <v>143</v>
      </c>
      <c r="C6" t="s">
        <v>135</v>
      </c>
      <c r="D6" s="8">
        <v>45470</v>
      </c>
    </row>
    <row r="7" spans="1:4">
      <c r="A7" t="s">
        <v>144</v>
      </c>
      <c r="B7" t="s">
        <v>145</v>
      </c>
      <c r="C7" t="s">
        <v>135</v>
      </c>
      <c r="D7" s="8">
        <v>45499</v>
      </c>
    </row>
    <row r="8" spans="1:4">
      <c r="A8" t="s">
        <v>146</v>
      </c>
      <c r="B8" t="s">
        <v>147</v>
      </c>
      <c r="C8" t="s">
        <v>135</v>
      </c>
      <c r="D8" s="8">
        <v>45512</v>
      </c>
    </row>
    <row r="9" spans="1:4">
      <c r="A9" t="s">
        <v>148</v>
      </c>
      <c r="B9" t="s">
        <v>149</v>
      </c>
      <c r="C9" t="s">
        <v>135</v>
      </c>
      <c r="D9" s="8">
        <v>45524</v>
      </c>
    </row>
    <row r="10" spans="1:4">
      <c r="A10" t="s">
        <v>150</v>
      </c>
      <c r="B10" t="s">
        <v>151</v>
      </c>
      <c r="C10" t="s">
        <v>135</v>
      </c>
      <c r="D10" s="8">
        <v>45592</v>
      </c>
    </row>
    <row r="11" spans="1:4">
      <c r="A11" t="s">
        <v>152</v>
      </c>
      <c r="B11" t="s">
        <v>153</v>
      </c>
      <c r="C11" t="s">
        <v>135</v>
      </c>
      <c r="D11" s="8">
        <v>45652</v>
      </c>
    </row>
    <row r="12" spans="1:4">
      <c r="A12" t="s">
        <v>154</v>
      </c>
      <c r="B12" t="s">
        <v>155</v>
      </c>
      <c r="C12" t="s">
        <v>156</v>
      </c>
      <c r="D12" s="8">
        <v>45667</v>
      </c>
    </row>
    <row r="13" spans="1:4">
      <c r="A13" t="s">
        <v>157</v>
      </c>
      <c r="B13" s="1" t="s">
        <v>158</v>
      </c>
      <c r="C13" t="s">
        <v>156</v>
      </c>
      <c r="D13" s="8">
        <v>45693</v>
      </c>
    </row>
    <row r="14" spans="1:4">
      <c r="A14" t="s">
        <v>159</v>
      </c>
      <c r="B14" s="1" t="s">
        <v>160</v>
      </c>
      <c r="C14" t="s">
        <v>135</v>
      </c>
      <c r="D14" s="8">
        <v>45708</v>
      </c>
    </row>
    <row r="15" spans="1:4">
      <c r="A15" t="s">
        <v>161</v>
      </c>
      <c r="B15" s="1" t="s">
        <v>162</v>
      </c>
      <c r="C15" t="s">
        <v>135</v>
      </c>
      <c r="D15" s="8">
        <v>45713</v>
      </c>
    </row>
    <row r="16" spans="1:4">
      <c r="A16" t="s">
        <v>163</v>
      </c>
      <c r="B16" s="1" t="s">
        <v>164</v>
      </c>
      <c r="C16" t="s">
        <v>135</v>
      </c>
      <c r="D16" s="8">
        <v>45769</v>
      </c>
    </row>
    <row r="17" spans="1:4">
      <c r="A17" t="s">
        <v>165</v>
      </c>
      <c r="B17" s="1" t="s">
        <v>166</v>
      </c>
      <c r="C17" t="s">
        <v>135</v>
      </c>
      <c r="D17" s="8">
        <v>45771</v>
      </c>
    </row>
    <row r="18" spans="1:4">
      <c r="A18" t="s">
        <v>167</v>
      </c>
      <c r="B18" s="1" t="s">
        <v>168</v>
      </c>
      <c r="C18" t="s">
        <v>135</v>
      </c>
      <c r="D18" s="8">
        <v>45776</v>
      </c>
    </row>
    <row r="19" spans="1:4">
      <c r="A19" t="s">
        <v>169</v>
      </c>
      <c r="B19" s="1" t="s">
        <v>170</v>
      </c>
      <c r="C19" t="s">
        <v>135</v>
      </c>
      <c r="D19" s="8">
        <v>45786</v>
      </c>
    </row>
    <row r="20" spans="1:4">
      <c r="A20" t="s">
        <v>171</v>
      </c>
      <c r="B20" t="s">
        <v>147</v>
      </c>
      <c r="C20" t="s">
        <v>135</v>
      </c>
      <c r="D20" s="8">
        <v>45791</v>
      </c>
    </row>
    <row r="21" spans="1:4">
      <c r="A21" t="s">
        <v>171</v>
      </c>
      <c r="B21" s="1" t="s">
        <v>172</v>
      </c>
      <c r="C21" s="1" t="s">
        <v>156</v>
      </c>
      <c r="D21" s="8">
        <v>45792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6"/>
  <sheetViews>
    <sheetView tabSelected="1" workbookViewId="0">
      <selection activeCell="A49" sqref="A49"/>
    </sheetView>
  </sheetViews>
  <sheetFormatPr defaultColWidth="8.625" defaultRowHeight="14.25"/>
  <cols>
    <col min="1" max="1" width="49.875" customWidth="1"/>
    <col min="2" max="2" width="42.125" customWidth="1"/>
    <col min="3" max="3" width="30.5" customWidth="1"/>
    <col min="4" max="4" width="60.625" customWidth="1"/>
  </cols>
  <sheetData>
    <row r="1" spans="1:4" s="19" customFormat="1" ht="16.5">
      <c r="A1" s="18" t="s">
        <v>235</v>
      </c>
      <c r="B1" s="19">
        <v>10</v>
      </c>
      <c r="C1" s="20" t="s">
        <v>243</v>
      </c>
      <c r="D1" s="18" t="s">
        <v>249</v>
      </c>
    </row>
    <row r="2" spans="1:4" s="19" customFormat="1" ht="16.5">
      <c r="A2" s="18" t="s">
        <v>233</v>
      </c>
      <c r="B2" s="19">
        <v>57</v>
      </c>
      <c r="C2" s="20" t="s">
        <v>244</v>
      </c>
      <c r="D2" s="19" t="s">
        <v>251</v>
      </c>
    </row>
    <row r="3" spans="1:4" s="19" customFormat="1" ht="16.5">
      <c r="A3" s="18" t="s">
        <v>234</v>
      </c>
      <c r="B3" s="19">
        <v>85</v>
      </c>
      <c r="C3" s="20" t="s">
        <v>245</v>
      </c>
    </row>
    <row r="4" spans="1:4" s="19" customFormat="1" ht="17.25">
      <c r="A4" s="21" t="s">
        <v>236</v>
      </c>
      <c r="B4" s="19">
        <v>86</v>
      </c>
      <c r="C4" s="20" t="s">
        <v>246</v>
      </c>
    </row>
    <row r="5" spans="1:4" s="19" customFormat="1" ht="17.25">
      <c r="A5" s="22" t="s">
        <v>248</v>
      </c>
      <c r="B5" s="21">
        <f>IF(D2="MKS单独补偿库",B1-1,B1-1)</f>
        <v>9</v>
      </c>
      <c r="C5" s="23"/>
    </row>
    <row r="6" spans="1:4" s="19" customFormat="1" ht="17.25">
      <c r="A6" s="21" t="s">
        <v>241</v>
      </c>
      <c r="B6" s="21"/>
      <c r="C6" s="21" t="s">
        <v>242</v>
      </c>
      <c r="D6" s="22"/>
    </row>
    <row r="7" spans="1:4" s="19" customFormat="1" ht="17.25">
      <c r="A7" s="21" t="s">
        <v>237</v>
      </c>
      <c r="B7" s="21" t="s">
        <v>239</v>
      </c>
      <c r="C7" s="20" t="s">
        <v>240</v>
      </c>
      <c r="D7" s="22"/>
    </row>
    <row r="8" spans="1:4" s="19" customFormat="1" ht="17.25">
      <c r="A8" s="21" t="s">
        <v>238</v>
      </c>
      <c r="B8" s="21" t="s">
        <v>250</v>
      </c>
      <c r="C8" s="20" t="s">
        <v>247</v>
      </c>
      <c r="D8" s="22"/>
    </row>
    <row r="9" spans="1:4" s="16" customFormat="1">
      <c r="A9" s="17"/>
      <c r="B9" s="17"/>
      <c r="C9" s="17"/>
      <c r="D9" s="17"/>
    </row>
    <row r="10" spans="1:4" s="6" customFormat="1">
      <c r="A10" s="24" t="str">
        <f>气体参数!N2</f>
        <v>header set_gas=1
set_shr=1.667
set_mw=4.002
set_c1=1.115
set_c2=0.363025318922611
set_c3=0.487092169440701
set_a=1
set_b=0
set_c=0
set_d=0</v>
      </c>
      <c r="B10" s="24"/>
      <c r="C10" s="24"/>
      <c r="D10" s="24"/>
    </row>
    <row r="11" spans="1:4">
      <c r="A11" s="15" t="str">
        <f>气体参数!N3</f>
        <v>header set_gas=4
set_shr=1.667
set_mw=39.948
set_c1=1.269
set_c2=0.114902092344169
set_c3=0.487092169440701
set_a=1
set_b=0
set_c=0
set_d=0</v>
      </c>
      <c r="B11" s="15"/>
      <c r="C11" s="15"/>
      <c r="D11" s="15"/>
    </row>
    <row r="12" spans="1:4">
      <c r="A12" s="15" t="str">
        <f>气体参数!N4</f>
        <v>header set_gas=13
set_shr=1.4
set_mw=28
set_c1=1
set_c2=0.129402082031238
set_c3=0.528281787717174
set_a=1
set_b=0
set_c=0
set_d=0</v>
      </c>
      <c r="B12" s="15"/>
      <c r="C12" s="15"/>
      <c r="D12" s="15"/>
    </row>
    <row r="13" spans="1:4">
      <c r="A13" s="15" t="str">
        <f>气体参数!N5</f>
        <v>header set_gas=25
set_shr=1.289
set_mw=44.01
set_c1=0.8366
set_c2=0.100281321601283
set_c3=0.547723501628019
set_a=1
set_b=0
set_c=0
set_d=0</v>
      </c>
      <c r="B13" s="15"/>
      <c r="C13" s="15"/>
      <c r="D13" s="15"/>
    </row>
    <row r="14" spans="1:4">
      <c r="A14" s="15" t="str">
        <f>气体参数!N6</f>
        <v>header set_gas=110
set_shr=1.1
set_mw=146
set_c1=0.853
set_c2=0.0520034641302041
set_c3=0.584679289086437
set_a=1
set_b=0
set_c=0
set_d=0</v>
      </c>
      <c r="B14" s="15"/>
      <c r="C14" s="15"/>
      <c r="D14" s="15"/>
    </row>
    <row r="15" spans="1:4">
      <c r="A15" s="15" t="str">
        <f>气体参数!N7</f>
        <v>header set_gas=108
set_shr=1.1
set_mw=169.9
set_c1=0.98
set_c2=0.0482072117274695
set_c3=0.584679289086437
set_a=4.0032
set_b=1149.8
set_c=-43.04
set_d=20</v>
      </c>
      <c r="B15" s="15"/>
      <c r="C15" s="15"/>
      <c r="D15" s="15"/>
    </row>
    <row r="16" spans="1:4">
      <c r="A16" s="15" t="str">
        <f>气体参数!N8</f>
        <v>header set_gas=15
set_shr=1.4
set_mw=32
set_c1=1.15
set_c2=0.121044564024027
set_c3=0.528281787717174
set_a=1
set_b=0
set_c=0
set_d=0</v>
      </c>
      <c r="B16" s="15"/>
      <c r="C16" s="15"/>
      <c r="D16" s="15"/>
    </row>
    <row r="17" spans="1:4">
      <c r="A17" s="15" t="str">
        <f>气体参数!N9</f>
        <v>header set_gas=297
set_shr=1.06
set_mw=162
set_c1=0.853
set_c2=0.0486993391548769
set_c3=0.59321077406382
set_a=0.06
set_b=0
set_c=0
set_d=0</v>
      </c>
      <c r="B17" s="15"/>
      <c r="C17" s="15"/>
      <c r="D17" s="15"/>
    </row>
    <row r="18" spans="1:4">
      <c r="A18" s="15" t="str">
        <f>气体参数!N10</f>
        <v>header set_gas=28
set_shr=1.32
set_mw=16
set_c1=0.58
set_c2=0.167713013820073
set_c3=0.542139179851747
set_a=1
set_b=0
set_c=0
set_d=0</v>
      </c>
      <c r="B18" s="15"/>
      <c r="C18" s="15"/>
      <c r="D18" s="15"/>
    </row>
    <row r="19" spans="1:4">
      <c r="A19" s="15" t="str">
        <f>气体参数!N11</f>
        <v>header set_gas=34
set_shr=1.25
set_mw=60
set_c1=0.69
set_c2=0.0849557993059992
set_c3=0.554928957306643
set_a=1
set_b=0
set_c=0
set_d=0</v>
      </c>
      <c r="B19" s="15"/>
      <c r="C19" s="15"/>
      <c r="D19" s="15"/>
    </row>
    <row r="20" spans="1:4">
      <c r="A20" s="15" t="str">
        <f>气体参数!N12</f>
        <v>header set_gas=19
set_shr=1.33
set_mw=71
set_c1=0.768
set_c2=0.0798263056832846
set_c3=0.54036401763595
set_a=1
set_b=0
set_c=0
set_d=0</v>
      </c>
      <c r="B20" s="15"/>
      <c r="C20" s="15"/>
      <c r="D20" s="15"/>
    </row>
    <row r="21" spans="1:4">
      <c r="A21" s="15" t="str">
        <f>气体参数!N13</f>
        <v>header set_gas=160
set_shr=1.24
set_mw=52
set_c1=0.81
set_c2=0.090996578908725
set_c3=0.556809816030138
set_a=4.262
set_b=821.09
set_c=-28.55
set_d=0</v>
      </c>
      <c r="B21" s="15"/>
      <c r="C21" s="15"/>
      <c r="D21" s="15"/>
    </row>
    <row r="22" spans="1:4">
      <c r="A22" s="15" t="str">
        <f>气体参数!N14</f>
        <v>header set_gas=49
set_shr=1.19
set_mw=70
set_c1=0.82
set_c2=0.0772813444103121
set_c3=0.566425958602578
set_a=1
set_b=0
set_c=0
set_d=0</v>
      </c>
      <c r="B22" s="15"/>
      <c r="C22" s="15"/>
      <c r="D22" s="15"/>
    </row>
    <row r="23" spans="1:4">
      <c r="A23" s="15" t="str">
        <f>气体参数!N15</f>
        <v>header set_gas=10
set_shr=1.38
set_mw=81
set_c1=1.07
set_c2=0.0757034653508419
set_c3=0.531673782783774
set_a=4.15
set_b=754.97
set_c=-25.086
set_d=0</v>
      </c>
      <c r="B23" s="15"/>
      <c r="C23" s="15"/>
      <c r="D23" s="15"/>
    </row>
    <row r="24" spans="1:4">
      <c r="A24" s="15" t="str">
        <f>气体参数!N16</f>
        <v>header set_gas=63
set_shr=1.18
set_mw=88
set_c1=1.01
set_c2=0.0687165631285626
set_c3=0.568392728733342
set_a=1
set_b=0
set_c=0
set_d=0</v>
      </c>
      <c r="B24" s="15"/>
      <c r="C24" s="15"/>
      <c r="D24" s="15"/>
    </row>
    <row r="25" spans="1:4">
      <c r="A25" s="15" t="str">
        <f>气体参数!N17</f>
        <v>header set_gas=53
set_shr=1.18
set_mw=71
set_c1=0.97
set_c2=0.0765021413896878
set_c3=0.568392728733342
set_a=1
set_b=0
set_c=0
set_d=0</v>
      </c>
      <c r="B25" s="15"/>
      <c r="C25" s="15"/>
      <c r="D25" s="15"/>
    </row>
    <row r="26" spans="1:4">
      <c r="A26" s="15" t="str">
        <f>气体参数!N18</f>
        <v>header set_gas=33
set_shr=1.28
set_mw=34
set_c1=0.67
set_c2=0.113810279189924
set_c3=0.549368225211583
set_a=1
set_b=0
set_c=0
set_d=0</v>
      </c>
      <c r="B26" s="15"/>
      <c r="C26" s="15"/>
      <c r="D26" s="15"/>
    </row>
    <row r="27" spans="1:4">
      <c r="A27" s="15" t="str">
        <f>气体参数!N19</f>
        <v>header set_gas=129
set_shr=1.05
set_mw=200
set_c1=0.58
set_c2=0.0436757539973
set_c3=0.595386285715933
set_a=4.254
set_b=1007.4
set_c=-30.205
set_d=0</v>
      </c>
      <c r="B27" s="15"/>
      <c r="C27" s="15"/>
      <c r="D27" s="15"/>
    </row>
    <row r="28" spans="1:4">
      <c r="A28" s="15" t="str">
        <f>气体参数!N20</f>
        <v>header set_gas=70
set_shr=1.15
set_mw=117.16
set_c1=0.62
set_c2=0.059058
set_c3=0.573778
set_a=3.95145
set_b=973.995
set_c=-38.994
set_d=0</v>
      </c>
      <c r="B28" s="15"/>
      <c r="C28" s="15"/>
      <c r="D28" s="15"/>
    </row>
    <row r="29" spans="1:4">
      <c r="A29" s="15" t="str">
        <f>气体参数!N21</f>
        <v>header set_gas=39
set_shr=1.269
set_mw=32
set_c1=0.624
set_c2=0.116955155368212
set_c3=0.55139306326529
set_a=1
set_b=0
set_c=0
set_d=0</v>
      </c>
      <c r="B29" s="15"/>
      <c r="C29" s="15"/>
      <c r="D29" s="15"/>
    </row>
    <row r="30" spans="1:4">
      <c r="A30" s="15" t="str">
        <f>气体参数!N22</f>
        <v>header set_gas=7
set_shr=1.41
set_mw=2
set_c1=0.5
set_c2=0.485368572376218
set_c3=0.526603292799095
set_a=1
set_b=0
set_c=0
set_d=0</v>
      </c>
      <c r="B30" s="15"/>
      <c r="C30" s="15"/>
      <c r="D30" s="15"/>
    </row>
    <row r="31" spans="1:4">
      <c r="A31" s="15" t="str">
        <f>气体参数!N23</f>
        <v>header set_gas=6
set_shr=1.666
set_mw=131.3
set_c1=1.29
set_c2=0.063366162
set_c3=0.487233559
set_a=1
set_b=0
set_c=0
set_d=0</v>
      </c>
      <c r="B31" s="15"/>
      <c r="C31" s="15"/>
      <c r="D31" s="15"/>
    </row>
    <row r="32" spans="1:4">
      <c r="A32" s="15" t="str">
        <f>气体参数!N24</f>
        <v>header set_gas=9
set_shr=1.39
set_mw=28
set_c1=1
set_c2=0.129081852
set_c3=0.529971909
set_a=1
set_b=0
set_c=0
set_d=0</v>
      </c>
      <c r="B32" s="15"/>
      <c r="C32" s="15"/>
      <c r="D32" s="15"/>
    </row>
    <row r="33" spans="1:4">
      <c r="A33" s="15" t="str">
        <f>气体参数!N25</f>
        <v>header set_gas=11
set_shr=1.4
set_mw=36.5
set_c1=0.84
set_c2=0.113337557
set_c3=0.528281788
set_a=1
set_b=0
set_c=0
set_d=0</v>
      </c>
      <c r="B33" s="15"/>
      <c r="C33" s="15"/>
      <c r="D33" s="15"/>
    </row>
    <row r="34" spans="1:4">
      <c r="A34" s="15" t="str">
        <f>气体参数!N26</f>
        <v>header set_gas=12
set_shr=1.4
set_mw=20
set_c1=0.8
set_c2=0.153110608
set_c3=0.528281788
set_a=4.91
set_b=1556
set_c=24
set_d=0</v>
      </c>
      <c r="B34" s="15"/>
      <c r="C34" s="15"/>
      <c r="D34" s="15"/>
    </row>
    <row r="35" spans="1:4">
      <c r="A35" s="15" t="str">
        <f>气体参数!N27</f>
        <v>header set_gas=18
set_shr=1.36
set_mw=38
set_c1=1.28
set_c2=0.109967515
set_c3=0.535113306
set_a=1
set_b=0
set_c=0
set_d=0</v>
      </c>
      <c r="B35" s="15"/>
      <c r="C35" s="15"/>
      <c r="D35" s="15"/>
    </row>
    <row r="36" spans="1:4">
      <c r="A36" s="15" t="str">
        <f>气体参数!N28</f>
        <v>header set_gas=26
set_shr=1.29
set_mw=46
set_c1=0.81
set_c2=0.098115056
set_c3=0.547541414
set_a=3.35
set_b=540
set_c=-131
set_d=0</v>
      </c>
      <c r="B36" s="15"/>
      <c r="C36" s="15"/>
      <c r="D36" s="15"/>
    </row>
    <row r="37" spans="1:4">
      <c r="A37" s="15" t="str">
        <f>气体参数!N29</f>
        <v>header set_gas=27
set_shr=1.27
set_mw=44
set_c1=0.84
set_c2=0.099767529
set_c3=0.551208318
set_a=1
set_b=0
set_c=0
set_d=0</v>
      </c>
      <c r="B37" s="15"/>
      <c r="C37" s="15"/>
      <c r="D37" s="15"/>
    </row>
    <row r="38" spans="1:4">
      <c r="A38" s="15" t="str">
        <f>气体参数!N30</f>
        <v>header set_gas=29
set_shr=1.3
set_mw=17
set_c1=0.57
set_c2=0.161834891
set_c3=0.545727734
set_a=1
set_b=0
set_c=0
set_d=0</v>
      </c>
      <c r="B38" s="15"/>
      <c r="C38" s="15"/>
      <c r="D38" s="15"/>
    </row>
    <row r="39" spans="1:4">
      <c r="A39" s="15" t="str">
        <f>气体参数!N31</f>
        <v>header set_gas=30
set_shr=1.27
set_mw=48
set_c1=0.84
set_c2=0.095520137
set_c3=0.551208318
set_a=1
set_b=0
set_c=0
set_d=0</v>
      </c>
      <c r="B39" s="15"/>
      <c r="C39" s="15"/>
      <c r="D39" s="15"/>
    </row>
    <row r="40" spans="1:4">
      <c r="A40" s="15" t="str">
        <f>气体参数!N32</f>
        <v>header set_gas=31
set_shr=1.29
set_mw=34
set_c1=0.69
set_c2=0.114123508
set_c3=0.547541414
set_a=1
set_b=0
set_c=0
set_d=0</v>
      </c>
      <c r="B40" s="15"/>
      <c r="C40" s="15"/>
      <c r="D40" s="15"/>
    </row>
    <row r="41" spans="1:4">
      <c r="A41" s="15" t="str">
        <f>气体参数!N33</f>
        <v>header set_gas=38
set_shr=1.24
set_mw=28
set_c1=0.58
set_c2=0.124007434
set_c3=0.556809816
set_a=1
set_b=0
set_c=0
set_d=0</v>
      </c>
      <c r="B41" s="15"/>
      <c r="C41" s="15"/>
      <c r="D41" s="15"/>
    </row>
    <row r="42" spans="1:4">
      <c r="A42" s="15" t="str">
        <f>气体参数!N34</f>
        <v>header set_gas=42
set_shr=1.23
set_mw=26
set_c1=0.59
set_c2=0.128317399
set_c3=0.558704579
set_a=1
set_b=0
set_c=0
set_d=0</v>
      </c>
      <c r="B42" s="15"/>
      <c r="C42" s="15"/>
      <c r="D42" s="15"/>
    </row>
    <row r="43" spans="1:4">
      <c r="A43" s="15" t="str">
        <f>气体参数!N35</f>
        <v>header set_gas=48
set_shr=1.2
set_mw=67.8
set_c1=0.97
set_c2=0.078761868
set_c3=0.56447393
set_a=1
set_b=0
set_c=0
set_d=0</v>
      </c>
      <c r="B43" s="15"/>
      <c r="C43" s="15"/>
      <c r="D43" s="15"/>
    </row>
    <row r="44" spans="1:4">
      <c r="A44" s="15" t="str">
        <f>气体参数!N36</f>
        <v>header set_gas=58
set_shr=1.17
set_mw=27.7
set_c1=0.46
set_c2=0.122103455
set_c3=0.570374416
set_a=1
set_b=0
set_c=0
set_d=0</v>
      </c>
      <c r="B44" s="15"/>
      <c r="C44" s="15"/>
      <c r="D44" s="15"/>
    </row>
    <row r="45" spans="1:4">
      <c r="A45" s="15" t="str">
        <f>气体参数!N37</f>
        <v>header set_gas=61
set_shr=1.15
set_mw=42
set_c1=0.52
set_c2=0.098544021
set_c3=0.57438326
set_a=1
set_b=0
set_c=0
set_d=0</v>
      </c>
      <c r="B45" s="15"/>
      <c r="C45" s="15"/>
      <c r="D45" s="15"/>
    </row>
    <row r="46" spans="1:4">
      <c r="A46" s="15" t="str">
        <f>气体参数!N38</f>
        <v>header set_gas=67
set_shr=1.15
set_mw=101
set_c1=0.66
set_c2=0.063546881
set_c3=0.57438326
set_a=0.07
set_b=0
set_c=0
set_d=0</v>
      </c>
      <c r="B46" s="15"/>
      <c r="C46" s="15"/>
      <c r="D46" s="15"/>
    </row>
    <row r="47" spans="1:4">
      <c r="A47" s="15" t="str">
        <f>气体参数!N39</f>
        <v>header set_gas=89
set_shr=1.13
set_mw=44.1
set_c1=0.46
set_c2=0.095557224
set_c3=0.578453954
set_a=1
set_b=0
set_c=0
set_d=0</v>
      </c>
      <c r="B47" s="15"/>
      <c r="C47" s="15"/>
      <c r="D47" s="15"/>
    </row>
    <row r="48" spans="1:4">
      <c r="A48" s="15" t="str">
        <f>气体参数!N40</f>
        <v>header set_gas=32
set_shr=1.26
set_mw=64
set_c1=0.73
set_c2=0.082491311
set_c3=0.553061844
set_a=1
set_b=0
set_c=0
set_d=0</v>
      </c>
      <c r="B48" s="15"/>
      <c r="C48" s="15"/>
      <c r="D48" s="15"/>
    </row>
    <row r="49" spans="1:4" s="6" customFormat="1">
      <c r="A49" s="24" t="str">
        <f>'mks offset'!X15</f>
        <v>header set_gas_MKS=108
set_s0=150
set_c0=1.002073415
set_c1=1.002364604
set_c2=1.011173333
set_c3=1.011766749
set_c4=1.005952047
set_c5=1.015936453
set_c6=1.020199652
set_c7=1.023913703
set_c8=1.0256576
set_c9=1.028350623</v>
      </c>
      <c r="B49" s="24"/>
      <c r="C49" s="24"/>
      <c r="D49" s="24"/>
    </row>
    <row r="50" spans="1:4">
      <c r="A50" s="15" t="str">
        <f>'mks offset'!X16</f>
        <v xml:space="preserve">header set_gas_MKS=297
set_s0=100
set_c0=1.01932411
set_c1=0.998798275
set_c2=0.996045939
set_c3=0.989908123
set_c4=0.991637726
set_c5=0.997155698
set_c6=0.999213736
set_c7=1.00033617
set_c8=1.001079136
set_c9=0.997430801
</v>
      </c>
      <c r="B50" s="15"/>
      <c r="C50" s="15"/>
      <c r="D50" s="15"/>
    </row>
    <row r="51" spans="1:4">
      <c r="A51" s="15" t="str">
        <f>'mks offset'!X17</f>
        <v xml:space="preserve">header set_gas_MKS=19
set_s0=300
set_c0=0.997112275
set_c1=0.998533821
set_c2=1.005762355
set_c3=1.006535244
set_c4=1.005536728
set_c5=1.005862554
set_c6=1.006679644
set_c7=1.020057391
set_c8=1.024605133
set_c9=1.0295948
</v>
      </c>
      <c r="B51" s="15"/>
      <c r="C51" s="15"/>
      <c r="D51" s="15"/>
    </row>
    <row r="52" spans="1:4">
      <c r="A52" s="15" t="str">
        <f>'mks offset'!X18</f>
        <v xml:space="preserve">header set_gas_MKS=7
set_s0=600
set_c0=0.992698733
set_c1=0.976842119
set_c2=0.974373289
set_c3=0.972806299
set_c4=0.971195476
set_c5=0.970122276
set_c6=0.969561619
set_c7=0.968861067
set_c8=0.968567345
set_c9=0.968250532
</v>
      </c>
      <c r="B52" s="15"/>
      <c r="C52" s="15"/>
      <c r="D52" s="15"/>
    </row>
    <row r="53" spans="1:4">
      <c r="A53" s="15" t="str">
        <f>'mks offset'!X19</f>
        <v xml:space="preserve">header set_gas_MKS=10
set_s0=400
set_c0=1.005630811
set_c1=1.004519781
set_c2=1.032271657
set_c3=1.047116596
set_c4=1.059845069
set_c5=1.06568239
set_c6=1.053878861
set_c7=1.077931274
set_c8=1.076558662
set_c9=1.073722429
</v>
      </c>
      <c r="B53" s="15"/>
      <c r="C53" s="15"/>
      <c r="D53" s="15"/>
    </row>
    <row r="54" spans="1:4">
      <c r="A54" s="15" t="str">
        <f>'mks offset'!X20</f>
        <v xml:space="preserve">header set_gas_MKS=4
set_s0=1000
set_c0=1.007047806
set_c1=0.99999382
set_c2=1.000671387
set_c3=1.000964279
set_c4=1.01259119
set_c5=1.023509117
set_c6=1.031375736
set_c7=1.035847091
set_c8=1.038511151
set_c9=1.023759887
</v>
      </c>
      <c r="B54" s="15"/>
      <c r="C54" s="15"/>
      <c r="D54" s="15"/>
    </row>
    <row r="55" spans="1:4">
      <c r="A55" s="15" t="str">
        <f>'mks offset'!X21</f>
        <v xml:space="preserve">header set_gas_MKS=15
set_s0=1000
set_c0=1.007894826
set_c1=1.003315281
set_c2=0.983111775
set_c3=0.990406342
set_c4=0.995827393
set_c5=1.001820781
set_c6=1.007717637
set_c7=1.012644956
set_c8=1.014742978
set_c9=1.016313782
</v>
      </c>
      <c r="B55" s="15"/>
      <c r="C55" s="15"/>
      <c r="D55" s="15"/>
    </row>
    <row r="56" spans="1:4">
      <c r="A56" s="15" t="str">
        <f>'mks offset'!X22</f>
        <v xml:space="preserve">header set_gas_MKS=70
set_s0=100
set_c0=1.018419647
set_c1=1.010030079
set_c2=1.005288951
set_c3=1.004224872
set_c4=1.002684402
set_c5=1.005810865
set_c6=1.008769662
set_c7=1.010742571
set_c8=1.010223388
set_c9=1.010714801
</v>
      </c>
      <c r="B56" s="15"/>
      <c r="C56" s="15"/>
      <c r="D56" s="15"/>
    </row>
    <row r="57" spans="1:4">
      <c r="A57" s="15" t="str">
        <f>'mks offset'!X23</f>
        <v xml:space="preserve">header set_gas_MKS=53
set_s0=500
set_c0=1.005344696
set_c1=1.000876999
set_c2=0.990538127
set_c3=0.996886597
set_c4=1.002570252
set_c5=1.008337199
set_c6=1.011387767
set_c7=1.009987942
set_c8=1.010754526
set_c9=1.018130252
</v>
      </c>
      <c r="B57" s="15"/>
      <c r="C57" s="15"/>
      <c r="D57" s="15"/>
    </row>
    <row r="58" spans="1:4">
      <c r="A58" s="24" t="str">
        <f>喷嘴参数!T14</f>
        <v>G23_PILOT_001</v>
      </c>
      <c r="B58" s="24" t="str">
        <f>喷嘴参数!U14</f>
        <v>header  set_nozzle=0
set_gerr2=-0.338132
set_gerr1=2.814077
set_gerr0=-1.645232
set_s1=-0.052
set_s2=1.1028
set_tr=300</v>
      </c>
      <c r="C58" s="24" t="str">
        <f>喷嘴参数!V14</f>
        <v>header  set_bp0=-455.638944554371
set_bp1=698.404586493478
set_bp2=-375.138679029412
set_bp3=87.1886224363897
set_bp4=-6.73965548858953
purge_time=120</v>
      </c>
      <c r="D58" s="24" t="str">
        <f>喷嘴参数!W14</f>
        <v>header  set_nozzle=1
set_gerr2=-2.05063
set_gerr1=22.54856
set_gerr0=-10.3344
set_s1=-0.052
set_s2=1.1028
set_tr=300
set_v1=0.4644
set_v2=3195.55241</v>
      </c>
    </row>
    <row r="59" spans="1:4">
      <c r="A59" s="15" t="str">
        <f>喷嘴参数!T15</f>
        <v>工程样机</v>
      </c>
      <c r="B59" s="15" t="str">
        <f>喷嘴参数!U15</f>
        <v>header  set_nozzle=0
set_gerr2=-0.130901
set_gerr1=1.543311
set_gerr0=-0.775613
set_s1=-0.052
set_s2=1.1028
set_tr=300</v>
      </c>
      <c r="C59" s="15" t="str">
        <f>喷嘴参数!V15</f>
        <v>header  set_bp0=-592.33
set_bp1=907.93
set_bp2=-487.68
set_bp3=113.34
set_bp4=-8.7615
purge_time=120</v>
      </c>
      <c r="D59" s="15" t="str">
        <f>喷嘴参数!W15</f>
        <v>header  set_nozzle=1
set_gerr2=-1.80877
set_gerr1=20.54181
set_gerr0=-9.74048
set_s1=-0.052
set_s2=1.1028
set_tr=300
set_v1=0.4644
set_v2=3195</v>
      </c>
    </row>
    <row r="60" spans="1:4">
      <c r="A60" s="15" t="str">
        <f>喷嘴参数!T16</f>
        <v>G23_PILOT_002</v>
      </c>
      <c r="B60" s="15" t="str">
        <f>喷嘴参数!U16</f>
        <v>header  set_nozzle=0
set_gerr2=-0.1854216250807
set_gerr1=1.9169680267538
set_gerr0=-1.40999305747901
set_s1=-0.052
set_s2=1.1028
set_tr=300</v>
      </c>
      <c r="C60" s="15" t="str">
        <f>喷嘴参数!V16</f>
        <v>header  set_bp0=-1080.90411587727
set_bp1=1478.81013841609
set_bp2=-725.114797601548
set_bp3=154.407451582234
set_bp4=-11.2516489823773
purge_time=120</v>
      </c>
      <c r="D60" s="15" t="str">
        <f>喷嘴参数!W16</f>
        <v>header  set_nozzle=1
set_gerr2=-4.56576101906463
set_gerr1=44.3044554485287
set_gerr0=-57.4360388120656
set_s1=-0.052
set_s2=1.1028
set_tr=300
set_v1=0.4644
set_v2=3178</v>
      </c>
    </row>
    <row r="61" spans="1:4">
      <c r="A61" s="15" t="str">
        <f>喷嘴参数!T17</f>
        <v>G23_PILOT_003</v>
      </c>
      <c r="B61" s="15" t="str">
        <f>喷嘴参数!U17</f>
        <v>header  set_nozzle=0
set_gerr2=-0.480905948551373
set_gerr1=4.65347670238517
set_gerr0=-1.49310550768043
set_s1=-0.052
set_s2=1.1028
set_tr=300</v>
      </c>
      <c r="C61" s="15" t="str">
        <f>喷嘴参数!V17</f>
        <v>header  set_bp0=-1453.5292052402
set_bp1=1947.96456055809
set_bp2=-938.625579471547
set_bp3=195.661233100399
set_bp4=-14.1061830111192
purge_time=120</v>
      </c>
      <c r="D61" s="15" t="str">
        <f>喷嘴参数!W17</f>
        <v>header  set_nozzle=1
set_gerr2=-4.32904258610302
set_gerr1=42.0707378762887
set_gerr0=-51.5518589303579
set_s1=-0.052
set_s2=1.1028
set_tr=300
set_v1=0.4644
set_v2=3189</v>
      </c>
    </row>
    <row r="62" spans="1:4">
      <c r="A62" s="15" t="str">
        <f>喷嘴参数!T18</f>
        <v>G23_PILOT_001_改喷嘴</v>
      </c>
      <c r="B62" s="15" t="str">
        <f>喷嘴参数!U18</f>
        <v>header  set_nozzle=0
set_gerr2=-0.619384839581601
set_gerr1=6.00346336710397
set_gerr0=-2.33307265026052
set_s1=-0.052
set_s2=1.1028
set_tr=300</v>
      </c>
      <c r="C62" s="15" t="str">
        <f>喷嘴参数!V18</f>
        <v>header  set_bp0=-208.778662860889
set_bp1=409.729450057385
set_bp2=-259.41613826665
set_bp3=68.6443991098254
set_bp4=-5.51095019188687
purge_time=120</v>
      </c>
      <c r="D62" s="15" t="str">
        <f>喷嘴参数!W18</f>
        <v>header  set_nozzle=1
set_gerr2=-2.05063
set_gerr1=22.54856
set_gerr0=-10.3344
set_s1=-0.052
set_s2=1.1028
set_tr=300
set_v1=0.4644
set_v2=3195</v>
      </c>
    </row>
    <row r="63" spans="1:4">
      <c r="A63" s="15" t="str">
        <f>喷嘴参数!T19</f>
        <v>G23_PILOT_002_改喷嘴</v>
      </c>
      <c r="B63" s="15" t="str">
        <f>喷嘴参数!U19</f>
        <v>header  set_nozzle=0
set_gerr2=-0.328626755835232
set_gerr1=3.31414433748488
set_gerr0=-0.832538239980768
set_s1=-0.052
set_s2=1.1028
set_tr=300</v>
      </c>
      <c r="C63" s="15" t="str">
        <f>喷嘴参数!V19</f>
        <v>header  set_bp0=-174.12568249368
set_bp1=353.78002402822
set_bp2=-231.015593518699
set_bp3=63.126969122864
set_bp4=-5.17910969622423
purge_time=120</v>
      </c>
      <c r="D63" s="15" t="str">
        <f>喷嘴参数!W19</f>
        <v>header  set_nozzle=1
set_gerr2=-4.56576101906463
set_gerr1=44.3044554485287
set_gerr0=-57.4360388120656
set_s1=-0.052
set_s2=1.1028
set_tr=300
set_v1=0.4644
set_v2=3178</v>
      </c>
    </row>
    <row r="64" spans="1:4">
      <c r="A64" s="15" t="str">
        <f>喷嘴参数!T20</f>
        <v>G23_PILOT_004</v>
      </c>
      <c r="B64" s="15" t="str">
        <f>喷嘴参数!U20</f>
        <v>header  set_nozzle=0
set_gerr2=-0.394323788988331
set_gerr1=3.76040659928571
set_gerr0=-1.56521407002074
set_s1=-0.052
set_s2=1.1028
set_tr=300</v>
      </c>
      <c r="C64" s="15" t="str">
        <f>喷嘴参数!V20</f>
        <v>header  set_bp0=-182.363556503213
set_bp1=360.830904566161
set_bp2=-231.519626114067
set_bp3=61.8417356214756
set_bp4=-4.99454374301303
purge_time=120</v>
      </c>
      <c r="D64" s="15" t="str">
        <f>喷嘴参数!W20</f>
        <v>header  set_nozzle=1
set_gerr2=-4.44863451897649
set_gerr1=43.1960207017044
set_gerr0=-53.9063435518526
set_s1=-0.052
set_s2=1.1028
set_tr=300
set_v1=0.4644
set_v2=3153.720168</v>
      </c>
    </row>
    <row r="65" spans="1:4">
      <c r="A65" s="15" t="str">
        <f>喷嘴参数!T21</f>
        <v>G23_PILOT_006</v>
      </c>
      <c r="B65" s="15" t="str">
        <f>喷嘴参数!U21</f>
        <v>header  set_nozzle=0
set_gerr2=-0.304156608089993
set_gerr1=3.37550362050009
set_gerr0=-1.41381991991565
set_s1=-0.052
set_s2=1.1028
set_tr=300</v>
      </c>
      <c r="C65" s="15" t="str">
        <f>喷嘴参数!V21</f>
        <v>header  set_bp0=-185.68923944104
set_bp1=368.0917493855
set_bp2=-236.951963487812
set_bp3=63.5675500144208
set_bp4=-5.17598489451577
purge_time=120</v>
      </c>
      <c r="D65" s="15" t="str">
        <f>喷嘴参数!W21</f>
        <v>header  set_nozzle=1
set_gerr2=-2.6703658876088
set_gerr1=27.2516946445483
set_gerr0=-19.7944081455669
set_s1=-0.052
set_s2=1.1028
set_tr=300
set_v1=0.4644
set_v2=3193.5</v>
      </c>
    </row>
    <row r="66" spans="1:4">
      <c r="A66" s="15" t="str">
        <f>喷嘴参数!T22</f>
        <v>G23_PILOT_008</v>
      </c>
      <c r="B66" s="15" t="str">
        <f>喷嘴参数!U22</f>
        <v>header  set_nozzle=0
set_gerr2=-0.240139283537276
set_gerr1=2.9093504149719
set_gerr0=-0.517189135924653
set_s1=-0.052
set_s2=1.1028
set_tr=300</v>
      </c>
      <c r="C66" s="15" t="str">
        <f>喷嘴参数!V22</f>
        <v>header  set_bp0=-186.177106780405
set_bp1=368.495099595798
set_bp2=-237.580612005222
set_bp3=63.8438030364117
set_bp4=-5.21239892175003
purge_time=120</v>
      </c>
      <c r="D66" s="15" t="str">
        <f>喷嘴参数!W22</f>
        <v>header  set_nozzle=1
set_gerr2=-2.4487720018934
set_gerr1=25.3110623290802
set_gerr0=-15.9227067368693
set_s1=-0.052
set_s2=1.1028
set_tr=300
set_v1=0.4644
set_v2=3177.6</v>
      </c>
    </row>
    <row r="67" spans="1:4">
      <c r="A67" s="15" t="str">
        <f>喷嘴参数!T23</f>
        <v>G23_PILOT_009</v>
      </c>
      <c r="B67" s="15" t="str">
        <f>喷嘴参数!U23</f>
        <v>header  set_nozzle=0
set_gerr2=-0.162104973520345
set_gerr1=2.49307782009197
set_gerr0=-0.182867541789473
set_s1=-0.052
set_s2=1.1028
set_tr=300</v>
      </c>
      <c r="C67" s="15" t="str">
        <f>喷嘴参数!V23</f>
        <v>header  set_bp0=-185.197701170346
set_bp1=369.927254766791
set_bp2=-238.311866257382
set_bp3=64.0085842919671
set_bp4=-5.21271572699199
purge_time=120</v>
      </c>
      <c r="D67" s="15" t="str">
        <f>喷嘴参数!W23</f>
        <v>header  set_nozzle=1
set_gerr2=-2.61760908724672
set_gerr1=26.5241027627527
set_gerr0=-18.4374576310026
set_s1=-0.052
set_s2=1.1028
set_tr=300
set_v1=0.4644
set_v2=3182.742975</v>
      </c>
    </row>
    <row r="68" spans="1:4">
      <c r="A68" s="15" t="str">
        <f>喷嘴参数!T24</f>
        <v>G23_PILOT_010</v>
      </c>
      <c r="B68" s="15" t="str">
        <f>喷嘴参数!U24</f>
        <v>header  set_nozzle=0
set_gerr2=-0.268030593011387
set_gerr1=2.91739685247398
set_gerr0=-1.16602991413393
set_s1=-0.052
set_s2=1.1028
set_tr=300</v>
      </c>
      <c r="C68" s="15" t="str">
        <f>喷嘴参数!V24</f>
        <v>header  set_bp0=-196.269731305022
set_bp1=384.936934330236
set_bp2=-246.841263466256
set_bp3=66.1134699426362
set_bp4=-5.41176897407699
purge_time=120</v>
      </c>
      <c r="D68" s="15" t="str">
        <f>喷嘴参数!W24</f>
        <v>header  set_nozzle=1
set_gerr2=-2.9231487202459
set_gerr1=27.6312327357239
set_gerr0=-21.4508856025123
set_s1=-0.052
set_s2=1.1028
set_tr=300
set_v1=0.4644
set_v2=3180.118</v>
      </c>
    </row>
    <row r="69" spans="1:4">
      <c r="A69" s="15" t="str">
        <f>喷嘴参数!T25</f>
        <v>G23_PILOT_011</v>
      </c>
      <c r="B69" s="15" t="str">
        <f>喷嘴参数!U25</f>
        <v>header  set_nozzle=0
set_gerr2=-0.237658341020965
set_gerr1=2.72638366442019
set_gerr0=-1.05277197434582
set_s1=-0.052
set_s2=1.1028
set_tr=300</v>
      </c>
      <c r="C69" s="15" t="str">
        <f>喷嘴参数!V25</f>
        <v>header  set_bp0=-201.034391832692
set_bp1=393.245156165665
set_bp2=-251.967610780777
set_bp3=67.4117037523037
set_bp4=-5.52762785187605
purge_time=120</v>
      </c>
      <c r="D69" s="15" t="str">
        <f>喷嘴参数!W25</f>
        <v>header  set_nozzle=1
set_gerr2=-2.82103391696239
set_gerr1=26.9965317353026
set_gerr0=-20.8261620315637
set_s1=-0.052
set_s2=1.1028
set_tr=300
set_v1=0.4644
set_v2=3186.617</v>
      </c>
    </row>
    <row r="70" spans="1:4">
      <c r="A70" s="15" t="str">
        <f>喷嘴参数!T26</f>
        <v>G23_PILOT_012</v>
      </c>
      <c r="B70" s="15" t="str">
        <f>喷嘴参数!U26</f>
        <v>header  set_nozzle=0
set_gerr2=-0.25096937378252
set_gerr1=2.84120083528348
set_gerr0=-1.14682154899529
set_s1=-0.052
set_s2=1.1028
set_tr=300</v>
      </c>
      <c r="C70" s="15" t="str">
        <f>喷嘴参数!V26</f>
        <v>header  set_bp0=-202.2943636
set_bp1=394.1804167
set_bp2=-251.7549265
set_bp3=67.19969739
set_bp4=-5.492101649
purge_time=120</v>
      </c>
      <c r="D70" s="15" t="str">
        <f>喷嘴参数!W26</f>
        <v>header  set_nozzle=1
set_gerr2=-3.10603448253075
set_gerr1=29.5319601805491
set_gerr0=-26.1875324193122
set_s1=-0.052
set_s2=1.1028
set_tr=300
set_v1=0.4644
set_v2=3161.851326</v>
      </c>
    </row>
    <row r="71" spans="1:4">
      <c r="A71" s="15" t="str">
        <f>喷嘴参数!T27</f>
        <v>G23_PILOT_013</v>
      </c>
      <c r="B71" s="15" t="str">
        <f>喷嘴参数!U27</f>
        <v>header  set_nozzle=0
set_gerr2=-0.267886103271512
set_gerr1=2.90421164360868
set_gerr0=-1.18401868982234
set_s1=-0.052
set_s2=1.1028
set_tr=300</v>
      </c>
      <c r="C71" s="15" t="str">
        <f>喷嘴参数!V27</f>
        <v>header  set_bp0=-198.125512343751
set_bp1=387.479004693136
set_bp2=-248.178766475656
set_bp3=66.4175957451387
set_bp4=-5.42933995466606
purge_time=120</v>
      </c>
      <c r="D71" s="15" t="str">
        <f>喷嘴参数!W27</f>
        <v>header  set_nozzle=1
set_gerr2=-2.91235379342406
set_gerr1=27.3867386576567
set_gerr0=-20.9552558960522
set_s1=-0.052
set_s2=1.1028
set_tr=300
set_v1=0.4644
set_v2=3181.185</v>
      </c>
    </row>
    <row r="72" spans="1:4">
      <c r="A72" s="15" t="str">
        <f>喷嘴参数!T28</f>
        <v>G23_PILOT_014</v>
      </c>
      <c r="B72" s="15" t="str">
        <f>喷嘴参数!U28</f>
        <v>header  set_nozzle=0
set_gerr2=-0.246226692928559
set_gerr1=2.78236033148645
set_gerr0=-1.1247196750974
set_s1=-0.052
set_s2=1.1028
set_tr=300</v>
      </c>
      <c r="C72" s="15" t="str">
        <f>喷嘴参数!V28</f>
        <v>header  set_bp0=-200.65324570912
set_bp1=391.072225053962
set_bp2=-249.656669785784
set_bp3=66.618164058088
set_bp4=-5.44524722511112
purge_time=120</v>
      </c>
      <c r="D72" s="15" t="str">
        <f>喷嘴参数!W28</f>
        <v>header  set_nozzle=1
set_gerr2=-1.46951391763077
set_gerr1=18.2832991485617
set_gerr0=-2.80489398414312
set_s1=-0.052
set_s2=1.1028
set_tr=300
set_v1=0.4644
set_v2=3163.385657</v>
      </c>
    </row>
    <row r="73" spans="1:4">
      <c r="A73" s="15" t="str">
        <f>喷嘴参数!T29</f>
        <v>G23_PILOT_015</v>
      </c>
      <c r="B73" s="15" t="str">
        <f>喷嘴参数!U29</f>
        <v>header  set_nozzle=0
set_gerr2=-0.291021959
set_gerr1=3.093552151
set_gerr0=-1.619278638
set_s1=-0.052
set_s2=1.1028
set_tr=300</v>
      </c>
      <c r="C73" s="15" t="str">
        <f>喷嘴参数!V29</f>
        <v>header  set_bp0=-203.7450989
set_bp1=398.4215926
set_bp2=-256.0148838
set_bp3=68.41988733
set_bp4=-5.600002075
purge_time=120</v>
      </c>
      <c r="D73" s="15" t="str">
        <f>喷嘴参数!W29</f>
        <v>header  set_nozzle=1
set_gerr2=-2.911825466
set_gerr1=28.50310647
set_gerr0=-24.48033336
set_s1=-0.052
set_s2=1.1028
set_tr=300
set_v1=0.4644
set_v2=3192.196242</v>
      </c>
    </row>
    <row r="74" spans="1:4">
      <c r="A74" s="15" t="str">
        <f>喷嘴参数!T30</f>
        <v>G23_PILOT_016</v>
      </c>
      <c r="B74" s="15" t="str">
        <f>喷嘴参数!U30</f>
        <v>header  set_nozzle=0
set_gerr2=-0.272008445
set_gerr1=2.911550158
set_gerr0=-1.209397179
set_s1=-0.052
set_s2=1.1028
set_tr=300</v>
      </c>
      <c r="C74" s="15" t="str">
        <f>喷嘴参数!V30</f>
        <v>header  set_bp0=-205.3736612
set_bp1=399.523491
set_bp2=-255.685246
set_bp3=68.16133
set_bp4=-5.555839181
purge_time=120</v>
      </c>
      <c r="D74" s="15" t="str">
        <f>喷嘴参数!W30</f>
        <v>header  set_nozzle=1
set_gerr2=-2.84429262
set_gerr1=27.39621765
set_gerr0=-22.01586111
set_s1=-0.052
set_s2=1.1028
set_tr=300
set_v1=0.4644
set_v2=3194.428933</v>
      </c>
    </row>
    <row r="75" spans="1:4">
      <c r="A75" s="15" t="str">
        <f>喷嘴参数!T31</f>
        <v>G23_PILOT_017</v>
      </c>
      <c r="B75" s="15" t="str">
        <f>喷嘴参数!U31</f>
        <v>header  set_nozzle=0
set_gerr2=-0.236865378
set_gerr1=2.827562459
set_gerr0=-1.053668749
set_s1=-0.052
set_s2=1.1028
set_tr=300</v>
      </c>
      <c r="C75" s="15" t="str">
        <f>喷嘴参数!V31</f>
        <v>header  set_bp0=-204.3110964
set_bp1=397.7455745
set_bp2=-255.0675604
set_bp3=68.1006649
set_bp4=-5.554157904
purge_time=120</v>
      </c>
      <c r="D75" s="15" t="str">
        <f>喷嘴参数!W31</f>
        <v>header  set_nozzle=1
set_gerr2=-2.846886866
set_gerr1=27.69521962
set_gerr0=-22.97984793
set_s1=-0.052
set_s2=1.1028
set_tr=300
set_v1=0.4644
set_v2=3194.376341</v>
      </c>
    </row>
    <row r="76" spans="1:4">
      <c r="A76" s="15" t="str">
        <f>喷嘴参数!T32</f>
        <v>G23_PILOT_018</v>
      </c>
      <c r="B76" s="15" t="str">
        <f>喷嘴参数!U32</f>
        <v>header  set_nozzle=0
set_gerr2=-0.263497489
set_gerr1=3.10216538
set_gerr0=-1.46306167
set_s1=-0.052
set_s2=1.1028
set_tr=300</v>
      </c>
      <c r="C76" s="15" t="str">
        <f>喷嘴参数!V32</f>
        <v>header  set_bp0=-206.2219764
set_bp1=401.370979
set_bp2=-256.955473
set_bp3=68.66789843
set_bp4=-5.625105157
purge_time=120</v>
      </c>
      <c r="D76" s="15" t="str">
        <f>喷嘴参数!W32</f>
        <v>header  set_nozzle=1
set_gerr2=-2.984005693
set_gerr1=30.49236027
set_gerr0=-29.40416235
set_s1=-0.052
set_s2=1.1028
set_tr=300
set_v1=0.4644
set_v2=3194.884635</v>
      </c>
    </row>
    <row r="77" spans="1:4">
      <c r="A77" s="15" t="str">
        <f>喷嘴参数!T33</f>
        <v>G23_PILOT_019</v>
      </c>
      <c r="B77" s="15" t="str">
        <f>喷嘴参数!U33</f>
        <v>header  set_nozzle=0
set_gerr2=-0.347866906
set_gerr1=3.802630058
set_gerr0=-1.887415354
set_s1=-0.052
set_s2=1.1028
set_tr=300</v>
      </c>
      <c r="C77" s="15" t="str">
        <f>喷嘴参数!V33</f>
        <v>header  set_bp0=-166.2919624
set_bp1=321.4795726
set_bp2=-201.1157761
set_bp3=52.13164588
set_bp4=-3.988950794
purge_time=120</v>
      </c>
      <c r="D77" s="15" t="str">
        <f>喷嘴参数!W33</f>
        <v>header  set_nozzle=1
set_gerr2=-2.859956609
set_gerr1=29.43466365
set_gerr0=-27.09931273
set_s1=-0.052
set_s2=1.1028
set_tr=300
set_v1=0.4644
set_v2=3186.166691</v>
      </c>
    </row>
    <row r="78" spans="1:4">
      <c r="A78" s="15" t="str">
        <f>喷嘴参数!T34</f>
        <v>G23_PILOT_020</v>
      </c>
      <c r="B78" s="15" t="str">
        <f>喷嘴参数!U34</f>
        <v>header  set_nozzle=0
set_gerr2=-0.452352945
set_gerr1=4.234889184
set_gerr0=-1.94435024
set_s1=-0.052
set_s2=1.1028
set_tr=300</v>
      </c>
      <c r="C78" s="15" t="str">
        <f>喷嘴参数!V34</f>
        <v>header  set_bp0=-190.9759799
set_bp1=378.6306389
set_bp2=-240.8019098
set_bp3=63.77408527
set_bp4=-4.993325238
purge_time=120</v>
      </c>
      <c r="D78" s="15" t="str">
        <f>喷嘴参数!W34</f>
        <v>header  set_nozzle=1
set_gerr2=-2.914269466
set_gerr1=28.87655653
set_gerr0=-23.40297549
set_s1=-0.052
set_s2=1.1028
set_tr=300
set_v1=0.4644
set_v2=3190.488579</v>
      </c>
    </row>
    <row r="79" spans="1:4">
      <c r="A79" s="15" t="str">
        <f>喷嘴参数!T35</f>
        <v>G23_PILOT_021</v>
      </c>
      <c r="B79" s="15" t="str">
        <f>喷嘴参数!U35</f>
        <v>header  set_nozzle=0
set_gerr2=-0.391312454
set_gerr1=3.963074849
set_gerr0=-1.897888329
set_s1=-0.052
set_s2=1.1028
set_tr=300</v>
      </c>
      <c r="C79" s="15" t="str">
        <f>喷嘴参数!V35</f>
        <v>header  set_bp0=-185.468
set_bp1=366.7306
set_bp2=-233.432
set_bp3=62.01675
set_bp4=-4.91105
purge_time=120</v>
      </c>
      <c r="D79" s="15" t="str">
        <f>喷嘴参数!W35</f>
        <v>header  set_nozzle=1
set_gerr2=-3.047411163
set_gerr1=29.94639383
set_gerr0=-24.92027589
set_s1=-0.052
set_s2=1.1028
set_tr=300
set_v1=0.4644
set_v2=3160.45</v>
      </c>
    </row>
    <row r="80" spans="1:4">
      <c r="A80" s="15" t="str">
        <f>喷嘴参数!T36</f>
        <v>G23_PILOT_022</v>
      </c>
      <c r="B80" s="15" t="str">
        <f>喷嘴参数!U36</f>
        <v>header  set_nozzle=0
set_gerr2=-0.351977
set_gerr1=3.790107
set_gerr0=-1.685375
set_s1=-0.052
set_s2=1.1028
set_tr=300</v>
      </c>
      <c r="C80" s="15" t="str">
        <f>喷嘴参数!V36</f>
        <v>header  set_bp0=-188.9543621
set_bp1=375.5512652
set_bp2=-239.9704569
set_bp3=63.97747898
set_bp4=-5.114538012
purge_time=120</v>
      </c>
      <c r="D80" s="15" t="str">
        <f>喷嘴参数!W36</f>
        <v>header  set_nozzle=1
set_gerr2=-2.83005
set_gerr1=28.01044
set_gerr0=-20.6394
set_s1=-0.052
set_s2=1.1028
set_tr=300
set_v1=0.4644
set_v2=3165.92</v>
      </c>
    </row>
    <row r="81" spans="1:4">
      <c r="A81" s="15" t="str">
        <f>喷嘴参数!T37</f>
        <v>G23_PILOT_023</v>
      </c>
      <c r="B81" s="15" t="str">
        <f>喷嘴参数!U37</f>
        <v>header  set_nozzle=0
set_gerr2=-0.394791583514779
set_gerr1=4.05862891800604
set_gerr0=-2.10295227794344
set_s1=-0.052
set_s2=1.1028
set_tr=300</v>
      </c>
      <c r="C81" s="15" t="str">
        <f>喷嘴参数!V37</f>
        <v>header  set_bp0=-192.799608396573
set_bp1=386.46460061962
set_bp2=-250.401001580124
set_bp3=67.6774589089302
set_bp4=-5.55733611097165
purge_time=120</v>
      </c>
      <c r="D81" s="15" t="str">
        <f>喷嘴参数!W37</f>
        <v>header  set_nozzle=1
set_gerr2=-2.96595846427771
set_gerr1=29.4346959758756
set_gerr0=-24.2854335778378
set_s1=-0.052
set_s2=1.1028
set_tr=300
set_v1=0.4644
set_v2=3168.52150643418</v>
      </c>
    </row>
    <row r="82" spans="1:4">
      <c r="A82" s="15" t="str">
        <f>喷嘴参数!T38</f>
        <v>G23_PILOT_024</v>
      </c>
      <c r="B82" s="15" t="str">
        <f>喷嘴参数!U38</f>
        <v>header  set_nozzle=0
set_gerr2=-0.451961027953396
set_gerr1=4.25806463862962
set_gerr0=-2.20532408396668
set_s1=-0.052
set_s2=1.1028
set_tr=300</v>
      </c>
      <c r="C82" s="15" t="str">
        <f>喷嘴参数!V38</f>
        <v>header  set_bp0=-197.460703508784
set_bp1=395.736011971381
set_bp2=-256.464124752034
set_bp3=69.2519201587069
set_bp4=-5.69153730448838
purge_time=120</v>
      </c>
      <c r="D82" s="15" t="str">
        <f>喷嘴参数!W38</f>
        <v>header  set_nozzle=1
set_gerr2=-2.93387202291665
set_gerr1=29.1703067935731
set_gerr0=-23.9430035838137
set_s1=-0.052
set_s2=1.1028
set_tr=300
set_v1=0.4644
set_v2=3149.98826473044</v>
      </c>
    </row>
    <row r="83" spans="1:4">
      <c r="A83" s="15" t="str">
        <f>喷嘴参数!T39</f>
        <v>G23_PILOT_025</v>
      </c>
      <c r="B83" s="15" t="str">
        <f>喷嘴参数!U39</f>
        <v>header  set_nozzle=0
set_gerr2=-0.457917934243738
set_gerr1=4.49509133433822
set_gerr0=-2.21383735073978
set_s1=-0.052
set_s2=1.1028
set_tr=300</v>
      </c>
      <c r="C83" s="15" t="str">
        <f>喷嘴参数!V39</f>
        <v>header  set_bp0=-205.64293313889
set_bp1=411.382118644982
set_bp2=-266.127706614432
set_bp3=71.7248603956768
set_bp4=-5.91378943669145
purge_time=120</v>
      </c>
      <c r="D83" s="15" t="str">
        <f>喷嘴参数!W39</f>
        <v>header  set_nozzle=1
set_gerr2=-2.69293946507337
set_gerr1=26.7444058708492
set_gerr0=-17.9415310509873
set_s1=-0.052
set_s2=1.1028
set_tr=300
set_v1=0.4644
set_v2=3179.5085397724</v>
      </c>
    </row>
    <row r="84" spans="1:4">
      <c r="A84" s="15" t="str">
        <f>喷嘴参数!T40</f>
        <v>G23_PILOT_026</v>
      </c>
      <c r="B84" s="15" t="str">
        <f>喷嘴参数!U40</f>
        <v>header  set_nozzle=0
set_gerr2=-0.370328321
set_gerr1=3.99411056
set_gerr0=-2.020551979
set_s1=-0.052
set_s2=1.1028
set_tr=300</v>
      </c>
      <c r="C84" s="15" t="str">
        <f>喷嘴参数!V40</f>
        <v>header  set_bp0=-163.7806534
set_bp1=327.881772
set_bp2=-208.7133303
set_bp3=55.14574355
set_bp4=-4.223693602
purge_time=120</v>
      </c>
      <c r="D84" s="15" t="str">
        <f>喷嘴参数!W40</f>
        <v>header  set_nozzle=1
set_gerr2=-2.821639047
set_gerr1=28.20853071
set_gerr0=-22.66186234
set_s1=-0.052
set_s2=1.1028
set_tr=300
set_v1=0.4644
set_v2=3166.7208</v>
      </c>
    </row>
    <row r="85" spans="1:4">
      <c r="A85" s="15" t="str">
        <f>喷嘴参数!T41</f>
        <v>G23_PILOT_027</v>
      </c>
      <c r="B85" s="15" t="str">
        <f>喷嘴参数!U41</f>
        <v>header  set_nozzle=0
set_gerr2=-0.40696052
set_gerr1=4.308078442
set_gerr0=-2.250140767
set_s1=-0.052
set_s2=1.1028
set_tr=300</v>
      </c>
      <c r="C85" s="15" t="str">
        <f>喷嘴参数!V41</f>
        <v>header  set_bp0=-157.0045706
set_bp1=317.5304989
set_bp2=-204.4168592
set_bp3=54.81046103
set_bp4=-4.289979119
purge_time=120</v>
      </c>
      <c r="D85" s="15" t="str">
        <f>喷嘴参数!W41</f>
        <v>header  set_nozzle=1
set_gerr2=-3.199193265
set_gerr1=32.14666819
set_gerr0=-33.46083516
set_s1=-0.052
set_s2=1.1028
set_tr=300
set_v1=0.4644
set_v2=3175.197344</v>
      </c>
    </row>
    <row r="86" spans="1:4">
      <c r="A86" s="15" t="str">
        <f>喷嘴参数!T42</f>
        <v>G23_PILOT_028</v>
      </c>
      <c r="B86" s="15" t="str">
        <f>喷嘴参数!U42</f>
        <v>header  set_nozzle=0
set_gerr2=-0.396283027
set_gerr1=4.118304189
set_gerr0=-1.941484646
set_s1=-0.052
set_s2=1.1028
set_tr=300</v>
      </c>
      <c r="C86" s="15" t="str">
        <f>喷嘴参数!V42</f>
        <v>header  set_bp0=-163.1385243
set_bp1=328.7940727
set_bp2=-211.0574233
set_bp3=56.50866979
set_bp4=-4.459007662
purge_time=120</v>
      </c>
      <c r="D86" s="15" t="str">
        <f>喷嘴参数!W42</f>
        <v>header  set_nozzle=1
set_gerr2=-2.192245288
set_gerr1=21.24586286
set_gerr0=-2.038656352
set_s1=-0.052
set_s2=1.1028
set_tr=300
set_v1=0.4644
set_v2=3140.614968</v>
      </c>
    </row>
  </sheetData>
  <phoneticPr fontId="7" type="noConversion"/>
  <dataValidations count="1">
    <dataValidation type="list" allowBlank="1" showInputMessage="1" showErrorMessage="1" sqref="D2">
      <formula1>"标准数据库(无MKS补偿),MKS单独补偿库"</formula1>
    </dataValidation>
  </dataValidations>
  <pageMargins left="0.75" right="0.75" top="1" bottom="1" header="0.5" footer="0.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93"/>
  <sheetViews>
    <sheetView workbookViewId="0">
      <selection activeCell="W15" sqref="W15"/>
    </sheetView>
  </sheetViews>
  <sheetFormatPr defaultColWidth="9" defaultRowHeight="14.25"/>
  <cols>
    <col min="1" max="1" width="23.375" customWidth="1"/>
    <col min="3" max="4" width="12.625"/>
    <col min="5" max="5" width="11.5"/>
    <col min="6" max="6" width="12.625"/>
    <col min="14" max="15" width="12.625"/>
    <col min="20" max="20" width="12.625"/>
    <col min="22" max="23" width="13.75"/>
    <col min="24" max="24" width="12.625"/>
  </cols>
  <sheetData>
    <row r="1" spans="1:2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24">
      <c r="A2">
        <v>7</v>
      </c>
      <c r="B2" t="s">
        <v>42</v>
      </c>
      <c r="C2">
        <v>1.41</v>
      </c>
      <c r="D2">
        <v>2</v>
      </c>
      <c r="E2">
        <v>0.5</v>
      </c>
      <c r="F2">
        <v>0.485368572376218</v>
      </c>
      <c r="G2">
        <v>0.52660329279909501</v>
      </c>
      <c r="H2">
        <v>1</v>
      </c>
      <c r="I2">
        <v>0</v>
      </c>
      <c r="J2">
        <v>0</v>
      </c>
      <c r="K2">
        <v>0</v>
      </c>
    </row>
    <row r="5" spans="1:24" s="3" customFormat="1">
      <c r="A5" s="3" t="s">
        <v>78</v>
      </c>
      <c r="B5" s="3" t="s">
        <v>173</v>
      </c>
      <c r="E5" s="3" t="s">
        <v>80</v>
      </c>
      <c r="H5" s="3" t="s">
        <v>81</v>
      </c>
      <c r="I5" s="3" t="s">
        <v>82</v>
      </c>
      <c r="J5" s="3" t="s">
        <v>83</v>
      </c>
      <c r="K5" s="3" t="s">
        <v>84</v>
      </c>
      <c r="L5" s="3" t="s">
        <v>85</v>
      </c>
      <c r="M5" s="3" t="s">
        <v>86</v>
      </c>
      <c r="N5" s="3" t="s">
        <v>87</v>
      </c>
      <c r="O5" s="3" t="s">
        <v>88</v>
      </c>
      <c r="P5" s="3" t="s">
        <v>89</v>
      </c>
      <c r="Q5" s="3" t="s">
        <v>90</v>
      </c>
      <c r="R5" s="3" t="s">
        <v>91</v>
      </c>
      <c r="S5" s="3" t="s">
        <v>92</v>
      </c>
      <c r="T5" s="3" t="s">
        <v>93</v>
      </c>
      <c r="U5" s="3" t="s">
        <v>94</v>
      </c>
      <c r="V5" s="3" t="s">
        <v>95</v>
      </c>
      <c r="W5" s="3" t="s">
        <v>96</v>
      </c>
    </row>
    <row r="6" spans="1:24" s="3" customFormat="1">
      <c r="B6" s="3" t="s">
        <v>97</v>
      </c>
      <c r="C6" s="3" t="s">
        <v>98</v>
      </c>
      <c r="D6" s="3" t="s">
        <v>99</v>
      </c>
      <c r="E6" s="3" t="s">
        <v>97</v>
      </c>
      <c r="F6" s="3" t="s">
        <v>98</v>
      </c>
      <c r="G6" s="3" t="s">
        <v>99</v>
      </c>
    </row>
    <row r="7" spans="1:24">
      <c r="A7" t="s">
        <v>121</v>
      </c>
      <c r="B7">
        <v>-0.45235294500000001</v>
      </c>
      <c r="C7">
        <v>4.234889184</v>
      </c>
      <c r="D7">
        <v>-1.9443502399999999</v>
      </c>
      <c r="E7">
        <v>-2.9142694659999999</v>
      </c>
      <c r="F7">
        <v>28.876556529999998</v>
      </c>
      <c r="G7">
        <v>-23.402975489999999</v>
      </c>
      <c r="H7">
        <v>-5.1999999999999998E-2</v>
      </c>
      <c r="I7">
        <v>1.1028</v>
      </c>
      <c r="J7">
        <v>300</v>
      </c>
      <c r="K7">
        <v>-4.9933252379999997</v>
      </c>
      <c r="L7">
        <v>63.77408527</v>
      </c>
      <c r="M7">
        <v>-240.8019098</v>
      </c>
      <c r="N7">
        <v>378.63063890000001</v>
      </c>
      <c r="O7">
        <v>-190.9759799</v>
      </c>
      <c r="P7">
        <v>0.46439999999999998</v>
      </c>
      <c r="Q7">
        <v>3190.4885789999998</v>
      </c>
      <c r="R7">
        <f>Q7</f>
        <v>3190.4885789999998</v>
      </c>
    </row>
    <row r="14" spans="1:24">
      <c r="A14" t="s">
        <v>174</v>
      </c>
      <c r="C14" t="s">
        <v>175</v>
      </c>
      <c r="D14" t="s">
        <v>176</v>
      </c>
      <c r="E14" t="s">
        <v>177</v>
      </c>
      <c r="F14" t="s">
        <v>133</v>
      </c>
      <c r="G14" t="s">
        <v>136</v>
      </c>
      <c r="H14" t="s">
        <v>178</v>
      </c>
      <c r="I14" t="s">
        <v>179</v>
      </c>
      <c r="J14" t="s">
        <v>180</v>
      </c>
      <c r="K14" t="s">
        <v>181</v>
      </c>
      <c r="L14" t="s">
        <v>182</v>
      </c>
      <c r="M14" t="s">
        <v>183</v>
      </c>
      <c r="N14" t="s">
        <v>184</v>
      </c>
      <c r="O14" t="s">
        <v>185</v>
      </c>
      <c r="P14" t="s">
        <v>186</v>
      </c>
      <c r="Q14" t="s">
        <v>187</v>
      </c>
      <c r="R14" t="s">
        <v>188</v>
      </c>
      <c r="T14" t="s">
        <v>189</v>
      </c>
      <c r="U14" t="s">
        <v>190</v>
      </c>
      <c r="V14" t="s">
        <v>191</v>
      </c>
      <c r="W14" t="s">
        <v>192</v>
      </c>
      <c r="X14" t="s">
        <v>193</v>
      </c>
    </row>
    <row r="15" spans="1:24">
      <c r="A15" t="s">
        <v>104</v>
      </c>
      <c r="B15" t="s">
        <v>194</v>
      </c>
      <c r="C15">
        <f>M15/$F$2/X15*V15*((H15+L15)/$J$7)^0.5</f>
        <v>5.3324224695661986</v>
      </c>
      <c r="D15">
        <f>$G$2*E15</f>
        <v>36.273165218462708</v>
      </c>
      <c r="E15">
        <f>IF(S64="小喷嘴",M15/$F$2/W15*V15*((H15+L15)/$J$7)^0.5,M15/$F$2/W15*V15*((H15+L15)/$J$7)^0.5)</f>
        <v>68.88138702220634</v>
      </c>
      <c r="F15">
        <f>$P$7</f>
        <v>0.46439999999999998</v>
      </c>
      <c r="G15">
        <f>$R$7</f>
        <v>3190.4885789999998</v>
      </c>
      <c r="H15">
        <v>30</v>
      </c>
      <c r="I15">
        <v>405</v>
      </c>
      <c r="J15">
        <v>8.3138462000000004</v>
      </c>
      <c r="K15">
        <v>22.414100000000001</v>
      </c>
      <c r="L15">
        <v>273.14999999999998</v>
      </c>
      <c r="M15">
        <v>200</v>
      </c>
      <c r="N15">
        <f>60000*K15*((D15-E15)*133.32237*F15+(D15-C15)*133.32237*G15)/1000000/J15/(H15+L15)/(I15)</f>
        <v>17.337333423544674</v>
      </c>
      <c r="O15">
        <f>60000*K15*((D15-E15)*133.32237*F15+(D15-C15)*133.32237*G15)/1000000/J15/(H15+L15)/(I15+R15/1000)</f>
        <v>17.337333423544674</v>
      </c>
      <c r="P15" s="4">
        <f>(N15-M15)/M15</f>
        <v>-0.91331333288227667</v>
      </c>
      <c r="Q15" s="4">
        <f>(O15-M15)/M15</f>
        <v>-0.91331333288227667</v>
      </c>
      <c r="R15">
        <v>0</v>
      </c>
      <c r="S15" t="s">
        <v>195</v>
      </c>
      <c r="T15">
        <f>LOG10((M15)*$D$2/$E$2)</f>
        <v>2.9030899869919402</v>
      </c>
      <c r="U15">
        <f>($D$2/$E$2)^0.5</f>
        <v>2</v>
      </c>
      <c r="V15">
        <f>IF(S15="小喷嘴",$H$7*LOG10(U15)+$I$7,$H$7*LOG10(U15)+$I$7)</f>
        <v>1.0871464402254729</v>
      </c>
      <c r="W15">
        <f>IF(S15="小喷嘴",($B$7*T15+$C$7)*T15+$D$7,($E7*T15+$F$7)*T15+$G$7)</f>
        <v>6.5375145242143464</v>
      </c>
      <c r="X15">
        <f>((($K$7*T15+$L$7)*T15+$M$7)*T15+$N$7)*T15+$O$7</f>
        <v>84.4481229076993</v>
      </c>
    </row>
    <row r="24" spans="1:11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  <c r="G24" t="s">
        <v>6</v>
      </c>
      <c r="H24" t="s">
        <v>7</v>
      </c>
      <c r="I24" t="s">
        <v>8</v>
      </c>
      <c r="J24" t="s">
        <v>9</v>
      </c>
      <c r="K24" t="s">
        <v>10</v>
      </c>
    </row>
    <row r="25" spans="1:11">
      <c r="A25">
        <v>1</v>
      </c>
      <c r="B25" t="s">
        <v>11</v>
      </c>
      <c r="C25">
        <v>1.667</v>
      </c>
      <c r="D25">
        <v>4.0019999999999998</v>
      </c>
      <c r="E25">
        <v>1.115</v>
      </c>
      <c r="F25">
        <v>0.36302531892261097</v>
      </c>
      <c r="G25">
        <v>0.48709216944070099</v>
      </c>
      <c r="H25">
        <v>1</v>
      </c>
      <c r="I25">
        <v>0</v>
      </c>
      <c r="J25">
        <v>0</v>
      </c>
      <c r="K25">
        <v>0</v>
      </c>
    </row>
    <row r="26" spans="1:11">
      <c r="A26">
        <v>4</v>
      </c>
      <c r="B26" t="s">
        <v>13</v>
      </c>
      <c r="C26">
        <v>1.667</v>
      </c>
      <c r="D26">
        <v>39.948</v>
      </c>
      <c r="E26">
        <v>1.2689999999999999</v>
      </c>
      <c r="F26">
        <v>0.114902092344169</v>
      </c>
      <c r="G26">
        <v>0.48709216944070099</v>
      </c>
      <c r="H26">
        <v>1</v>
      </c>
      <c r="I26">
        <v>0</v>
      </c>
      <c r="J26">
        <v>0</v>
      </c>
      <c r="K26">
        <v>0</v>
      </c>
    </row>
    <row r="27" spans="1:11">
      <c r="A27">
        <v>13</v>
      </c>
      <c r="B27" t="s">
        <v>15</v>
      </c>
      <c r="C27">
        <v>1.4</v>
      </c>
      <c r="D27">
        <v>28</v>
      </c>
      <c r="E27">
        <v>1</v>
      </c>
      <c r="F27">
        <v>0.12940208203123801</v>
      </c>
      <c r="G27">
        <v>0.52828178771717405</v>
      </c>
      <c r="H27">
        <v>1</v>
      </c>
      <c r="I27">
        <v>0</v>
      </c>
      <c r="J27">
        <v>0</v>
      </c>
      <c r="K27">
        <v>0</v>
      </c>
    </row>
    <row r="28" spans="1:11">
      <c r="A28">
        <v>25</v>
      </c>
      <c r="B28" t="s">
        <v>17</v>
      </c>
      <c r="C28">
        <v>1.2889999999999999</v>
      </c>
      <c r="D28">
        <v>44.01</v>
      </c>
      <c r="E28">
        <v>0.83660000000000001</v>
      </c>
      <c r="F28">
        <v>0.100281321601283</v>
      </c>
      <c r="G28">
        <v>0.54772350162801897</v>
      </c>
      <c r="H28">
        <v>1</v>
      </c>
      <c r="I28">
        <v>0</v>
      </c>
      <c r="J28">
        <v>0</v>
      </c>
      <c r="K28">
        <v>0</v>
      </c>
    </row>
    <row r="29" spans="1:11">
      <c r="A29">
        <v>110</v>
      </c>
      <c r="B29" t="s">
        <v>19</v>
      </c>
      <c r="C29">
        <v>1.1000000000000001</v>
      </c>
      <c r="D29">
        <v>146</v>
      </c>
      <c r="E29">
        <v>0.85299999999999998</v>
      </c>
      <c r="F29">
        <v>5.2003464130204097E-2</v>
      </c>
      <c r="G29">
        <v>0.58467928908643696</v>
      </c>
      <c r="H29">
        <v>1</v>
      </c>
      <c r="I29">
        <v>0</v>
      </c>
      <c r="J29">
        <v>0</v>
      </c>
      <c r="K29">
        <v>0</v>
      </c>
    </row>
    <row r="30" spans="1:11">
      <c r="A30">
        <v>108</v>
      </c>
      <c r="B30" t="s">
        <v>21</v>
      </c>
      <c r="C30">
        <v>1.1000000000000001</v>
      </c>
      <c r="D30">
        <v>169.9</v>
      </c>
      <c r="E30">
        <v>0.98</v>
      </c>
      <c r="F30">
        <v>4.8207211727469501E-2</v>
      </c>
      <c r="G30">
        <v>0.58467928908643696</v>
      </c>
      <c r="H30">
        <v>4.0031999999999996</v>
      </c>
      <c r="I30">
        <v>1149.8</v>
      </c>
      <c r="J30">
        <v>-43.04</v>
      </c>
      <c r="K30">
        <v>20</v>
      </c>
    </row>
    <row r="31" spans="1:11">
      <c r="A31">
        <v>15</v>
      </c>
      <c r="B31" t="s">
        <v>23</v>
      </c>
      <c r="C31">
        <v>1.4</v>
      </c>
      <c r="D31">
        <v>32</v>
      </c>
      <c r="E31">
        <v>1.1499999999999999</v>
      </c>
      <c r="F31">
        <v>0.121044564024027</v>
      </c>
      <c r="G31">
        <v>0.52828178771717405</v>
      </c>
      <c r="H31">
        <v>1</v>
      </c>
      <c r="I31">
        <v>0</v>
      </c>
      <c r="J31">
        <v>0</v>
      </c>
      <c r="K31">
        <v>0</v>
      </c>
    </row>
    <row r="32" spans="1:11">
      <c r="A32">
        <v>297</v>
      </c>
      <c r="B32" t="s">
        <v>25</v>
      </c>
      <c r="C32">
        <v>1.06</v>
      </c>
      <c r="D32">
        <v>162</v>
      </c>
      <c r="E32">
        <v>0.85299999999999998</v>
      </c>
      <c r="F32">
        <v>4.8699339154876897E-2</v>
      </c>
      <c r="G32">
        <v>0.59321077406381995</v>
      </c>
      <c r="H32">
        <v>0.06</v>
      </c>
      <c r="I32">
        <v>0</v>
      </c>
      <c r="J32">
        <v>0</v>
      </c>
      <c r="K32">
        <v>0</v>
      </c>
    </row>
    <row r="33" spans="1:11">
      <c r="A33">
        <v>28</v>
      </c>
      <c r="B33" t="s">
        <v>27</v>
      </c>
      <c r="C33">
        <v>1.32</v>
      </c>
      <c r="D33">
        <v>16</v>
      </c>
      <c r="E33">
        <v>0.57999999999999996</v>
      </c>
      <c r="F33">
        <v>0.167713013820073</v>
      </c>
      <c r="G33">
        <v>0.54213917985174698</v>
      </c>
      <c r="H33">
        <v>1</v>
      </c>
      <c r="I33">
        <v>0</v>
      </c>
      <c r="J33">
        <v>0</v>
      </c>
      <c r="K33">
        <v>0</v>
      </c>
    </row>
    <row r="34" spans="1:11">
      <c r="A34">
        <v>34</v>
      </c>
      <c r="B34" t="s">
        <v>29</v>
      </c>
      <c r="C34">
        <v>1.25</v>
      </c>
      <c r="D34">
        <v>60</v>
      </c>
      <c r="E34">
        <v>0.69</v>
      </c>
      <c r="F34">
        <v>8.4955799305999197E-2</v>
      </c>
      <c r="G34">
        <v>0.55492895730664304</v>
      </c>
      <c r="H34">
        <v>1</v>
      </c>
      <c r="I34">
        <v>0</v>
      </c>
      <c r="J34">
        <v>0</v>
      </c>
      <c r="K34">
        <v>0</v>
      </c>
    </row>
    <row r="35" spans="1:11">
      <c r="A35">
        <v>19</v>
      </c>
      <c r="B35" t="s">
        <v>31</v>
      </c>
      <c r="C35">
        <v>1.33</v>
      </c>
      <c r="D35">
        <v>71</v>
      </c>
      <c r="E35">
        <v>0.76800000000000002</v>
      </c>
      <c r="F35">
        <v>7.9826305683284596E-2</v>
      </c>
      <c r="G35">
        <v>0.54036401763594999</v>
      </c>
      <c r="H35">
        <v>1</v>
      </c>
      <c r="I35">
        <v>0</v>
      </c>
      <c r="J35">
        <v>0</v>
      </c>
      <c r="K35">
        <v>0</v>
      </c>
    </row>
    <row r="36" spans="1:11">
      <c r="A36">
        <v>160</v>
      </c>
      <c r="B36" t="s">
        <v>33</v>
      </c>
      <c r="C36">
        <v>1.24</v>
      </c>
      <c r="D36">
        <v>52</v>
      </c>
      <c r="E36">
        <v>0.81</v>
      </c>
      <c r="F36">
        <v>9.0996578908725007E-2</v>
      </c>
      <c r="G36">
        <v>0.55680981603013802</v>
      </c>
      <c r="H36">
        <v>4.2619999999999996</v>
      </c>
      <c r="I36">
        <v>821.09</v>
      </c>
      <c r="J36">
        <v>-28.55</v>
      </c>
      <c r="K36">
        <v>0</v>
      </c>
    </row>
    <row r="37" spans="1:11">
      <c r="A37">
        <v>49</v>
      </c>
      <c r="B37" t="s">
        <v>34</v>
      </c>
      <c r="C37">
        <v>1.19</v>
      </c>
      <c r="D37">
        <v>70</v>
      </c>
      <c r="E37">
        <v>0.82</v>
      </c>
      <c r="F37">
        <v>7.7281344410312106E-2</v>
      </c>
      <c r="G37">
        <v>0.56642595860257805</v>
      </c>
      <c r="H37">
        <v>1</v>
      </c>
      <c r="I37">
        <v>0</v>
      </c>
      <c r="J37">
        <v>0</v>
      </c>
      <c r="K37">
        <v>0</v>
      </c>
    </row>
    <row r="38" spans="1:11">
      <c r="A38">
        <v>10</v>
      </c>
      <c r="B38" t="s">
        <v>35</v>
      </c>
      <c r="C38">
        <v>1.38</v>
      </c>
      <c r="D38">
        <v>81</v>
      </c>
      <c r="E38">
        <v>1.07</v>
      </c>
      <c r="F38">
        <v>7.5703465350841895E-2</v>
      </c>
      <c r="G38">
        <v>0.53167378278377397</v>
      </c>
      <c r="H38">
        <v>4.1500000000000004</v>
      </c>
      <c r="I38">
        <v>754.97</v>
      </c>
      <c r="J38">
        <v>-25.085999999999999</v>
      </c>
      <c r="K38">
        <v>0</v>
      </c>
    </row>
    <row r="39" spans="1:11">
      <c r="A39">
        <v>63</v>
      </c>
      <c r="B39" t="s">
        <v>36</v>
      </c>
      <c r="C39">
        <v>1.18</v>
      </c>
      <c r="D39">
        <v>88</v>
      </c>
      <c r="E39">
        <v>1.01</v>
      </c>
      <c r="F39">
        <v>6.8716563128562599E-2</v>
      </c>
      <c r="G39">
        <v>0.56839272873334201</v>
      </c>
      <c r="H39">
        <v>1</v>
      </c>
      <c r="I39">
        <v>0</v>
      </c>
      <c r="J39">
        <v>0</v>
      </c>
      <c r="K39">
        <v>0</v>
      </c>
    </row>
    <row r="40" spans="1:11">
      <c r="A40">
        <v>53</v>
      </c>
      <c r="B40" t="s">
        <v>37</v>
      </c>
      <c r="C40">
        <v>1.18</v>
      </c>
      <c r="D40">
        <v>71</v>
      </c>
      <c r="E40">
        <v>0.97</v>
      </c>
      <c r="F40">
        <v>7.6502141389687806E-2</v>
      </c>
      <c r="G40">
        <v>0.56839272873334201</v>
      </c>
      <c r="H40">
        <v>1</v>
      </c>
      <c r="I40">
        <v>0</v>
      </c>
      <c r="J40">
        <v>0</v>
      </c>
      <c r="K40">
        <v>0</v>
      </c>
    </row>
    <row r="41" spans="1:11">
      <c r="A41">
        <v>33</v>
      </c>
      <c r="B41" t="s">
        <v>38</v>
      </c>
      <c r="C41">
        <v>1.28</v>
      </c>
      <c r="D41">
        <v>34</v>
      </c>
      <c r="E41">
        <v>0.67</v>
      </c>
      <c r="F41">
        <v>0.11381027918992399</v>
      </c>
      <c r="G41">
        <v>0.54936822521158302</v>
      </c>
      <c r="H41">
        <v>1</v>
      </c>
      <c r="I41">
        <v>0</v>
      </c>
      <c r="J41">
        <v>0</v>
      </c>
      <c r="K41">
        <v>0</v>
      </c>
    </row>
    <row r="42" spans="1:11">
      <c r="A42">
        <v>129</v>
      </c>
      <c r="B42" t="s">
        <v>39</v>
      </c>
      <c r="C42">
        <v>1.05</v>
      </c>
      <c r="D42">
        <v>200</v>
      </c>
      <c r="E42">
        <v>0.57999999999999996</v>
      </c>
      <c r="F42">
        <v>4.3675753997299997E-2</v>
      </c>
      <c r="G42">
        <v>0.59538628571593299</v>
      </c>
      <c r="H42">
        <v>4.2539999999999996</v>
      </c>
      <c r="I42">
        <v>1007.4</v>
      </c>
      <c r="J42">
        <v>-30.204999999999998</v>
      </c>
      <c r="K42">
        <v>0</v>
      </c>
    </row>
    <row r="43" spans="1:11">
      <c r="A43">
        <v>70</v>
      </c>
      <c r="B43" t="s">
        <v>40</v>
      </c>
      <c r="C43">
        <v>1.1499999999999999</v>
      </c>
      <c r="D43">
        <v>117.16</v>
      </c>
      <c r="E43">
        <v>0.62</v>
      </c>
      <c r="F43">
        <v>5.9057999999999999E-2</v>
      </c>
      <c r="G43">
        <v>0.57377800000000001</v>
      </c>
      <c r="H43">
        <v>3.9514499999999999</v>
      </c>
      <c r="I43">
        <v>973.995</v>
      </c>
      <c r="J43">
        <v>-38.994</v>
      </c>
      <c r="K43">
        <v>0</v>
      </c>
    </row>
    <row r="44" spans="1:11">
      <c r="A44">
        <v>39</v>
      </c>
      <c r="B44" t="s">
        <v>41</v>
      </c>
      <c r="C44">
        <v>1.2689999999999999</v>
      </c>
      <c r="D44">
        <v>32</v>
      </c>
      <c r="E44">
        <v>0.624</v>
      </c>
      <c r="F44">
        <f>(1/D44)^0.5*(2*C44/(C44+1))^0.5*(2/(C44+1))^(1/(C44-1))</f>
        <v>0.11695515536821199</v>
      </c>
      <c r="G44">
        <f>(2/(C44+1))^(C44/(C44-1))</f>
        <v>0.55139306326529003</v>
      </c>
      <c r="H44">
        <v>1</v>
      </c>
      <c r="I44">
        <v>0</v>
      </c>
      <c r="J44">
        <v>0</v>
      </c>
      <c r="K44">
        <v>0</v>
      </c>
    </row>
    <row r="45" spans="1:11">
      <c r="A45">
        <v>7</v>
      </c>
      <c r="B45" t="s">
        <v>42</v>
      </c>
      <c r="C45">
        <v>1.41</v>
      </c>
      <c r="D45">
        <v>2</v>
      </c>
      <c r="E45">
        <v>0.5</v>
      </c>
      <c r="F45">
        <v>0.485368572376218</v>
      </c>
      <c r="G45">
        <v>0.52660329279909501</v>
      </c>
      <c r="H45">
        <v>1</v>
      </c>
      <c r="I45">
        <v>0</v>
      </c>
      <c r="J45">
        <v>0</v>
      </c>
      <c r="K45">
        <v>0</v>
      </c>
    </row>
    <row r="46" spans="1:11">
      <c r="A46">
        <v>6</v>
      </c>
      <c r="B46" t="s">
        <v>43</v>
      </c>
      <c r="C46">
        <v>1.6659999999999999</v>
      </c>
      <c r="D46">
        <v>131.30000000000001</v>
      </c>
      <c r="E46">
        <v>1.29</v>
      </c>
      <c r="F46">
        <v>6.3366162000000004E-2</v>
      </c>
      <c r="G46">
        <v>0.48723355899999998</v>
      </c>
      <c r="H46">
        <v>1</v>
      </c>
      <c r="I46">
        <v>0</v>
      </c>
      <c r="J46">
        <v>0</v>
      </c>
      <c r="K46">
        <v>0</v>
      </c>
    </row>
    <row r="47" spans="1:11">
      <c r="A47">
        <v>9</v>
      </c>
      <c r="B47" t="s">
        <v>44</v>
      </c>
      <c r="C47">
        <v>1.39</v>
      </c>
      <c r="D47">
        <v>28</v>
      </c>
      <c r="E47">
        <v>1</v>
      </c>
      <c r="F47">
        <v>0.129081852</v>
      </c>
      <c r="G47">
        <v>0.52997190900000002</v>
      </c>
      <c r="H47">
        <v>1</v>
      </c>
      <c r="I47">
        <v>0</v>
      </c>
      <c r="J47">
        <v>0</v>
      </c>
      <c r="K47">
        <v>0</v>
      </c>
    </row>
    <row r="48" spans="1:11">
      <c r="A48">
        <v>11</v>
      </c>
      <c r="B48" t="s">
        <v>45</v>
      </c>
      <c r="C48">
        <v>1.4</v>
      </c>
      <c r="D48">
        <v>36.5</v>
      </c>
      <c r="E48">
        <v>0.84</v>
      </c>
      <c r="F48">
        <v>0.11333755700000001</v>
      </c>
      <c r="G48">
        <v>0.52828178800000003</v>
      </c>
      <c r="H48">
        <v>1</v>
      </c>
      <c r="I48">
        <v>0</v>
      </c>
      <c r="J48">
        <v>0</v>
      </c>
      <c r="K48">
        <v>0</v>
      </c>
    </row>
    <row r="49" spans="1:11">
      <c r="A49">
        <v>12</v>
      </c>
      <c r="B49" t="s">
        <v>46</v>
      </c>
      <c r="C49">
        <v>1.4</v>
      </c>
      <c r="D49">
        <v>20</v>
      </c>
      <c r="E49">
        <v>0.8</v>
      </c>
      <c r="F49">
        <v>0.15311060800000001</v>
      </c>
      <c r="G49">
        <v>0.52828178800000003</v>
      </c>
      <c r="H49">
        <v>4.91</v>
      </c>
      <c r="I49">
        <v>1556</v>
      </c>
      <c r="J49">
        <v>24</v>
      </c>
      <c r="K49">
        <v>0</v>
      </c>
    </row>
    <row r="50" spans="1:11">
      <c r="A50">
        <v>18</v>
      </c>
      <c r="B50" t="s">
        <v>47</v>
      </c>
      <c r="C50">
        <v>1.36</v>
      </c>
      <c r="D50">
        <v>38</v>
      </c>
      <c r="E50">
        <v>1.28</v>
      </c>
      <c r="F50">
        <v>0.109967515</v>
      </c>
      <c r="G50">
        <v>0.53511330599999996</v>
      </c>
      <c r="H50">
        <v>1</v>
      </c>
      <c r="I50">
        <v>0</v>
      </c>
      <c r="J50">
        <v>0</v>
      </c>
      <c r="K50">
        <v>0</v>
      </c>
    </row>
    <row r="51" spans="1:11">
      <c r="A51">
        <v>26</v>
      </c>
      <c r="B51" t="s">
        <v>48</v>
      </c>
      <c r="C51">
        <v>1.29</v>
      </c>
      <c r="D51">
        <v>46</v>
      </c>
      <c r="E51">
        <v>0.81</v>
      </c>
      <c r="F51">
        <v>9.8115056000000006E-2</v>
      </c>
      <c r="G51">
        <v>0.547541414</v>
      </c>
      <c r="H51">
        <v>3.35</v>
      </c>
      <c r="I51">
        <v>540</v>
      </c>
      <c r="J51">
        <v>-131</v>
      </c>
      <c r="K51">
        <v>0</v>
      </c>
    </row>
    <row r="52" spans="1:11">
      <c r="A52">
        <v>27</v>
      </c>
      <c r="B52" t="s">
        <v>49</v>
      </c>
      <c r="C52">
        <v>1.27</v>
      </c>
      <c r="D52">
        <v>44</v>
      </c>
      <c r="E52">
        <v>0.84</v>
      </c>
      <c r="F52">
        <v>9.9767528999999994E-2</v>
      </c>
      <c r="G52">
        <v>0.55120831800000003</v>
      </c>
      <c r="H52">
        <v>1</v>
      </c>
      <c r="I52">
        <v>0</v>
      </c>
      <c r="J52">
        <v>0</v>
      </c>
      <c r="K52">
        <v>0</v>
      </c>
    </row>
    <row r="53" spans="1:11">
      <c r="A53">
        <v>29</v>
      </c>
      <c r="B53" t="s">
        <v>50</v>
      </c>
      <c r="C53">
        <v>1.3</v>
      </c>
      <c r="D53">
        <v>17</v>
      </c>
      <c r="E53">
        <v>0.56999999999999995</v>
      </c>
      <c r="F53">
        <v>0.16183489100000001</v>
      </c>
      <c r="G53">
        <v>0.54572773399999996</v>
      </c>
      <c r="H53">
        <v>1</v>
      </c>
      <c r="I53">
        <v>0</v>
      </c>
      <c r="J53">
        <v>0</v>
      </c>
      <c r="K53">
        <v>0</v>
      </c>
    </row>
    <row r="54" spans="1:11">
      <c r="A54">
        <v>30</v>
      </c>
      <c r="B54" t="s">
        <v>51</v>
      </c>
      <c r="C54">
        <v>1.27</v>
      </c>
      <c r="D54">
        <v>48</v>
      </c>
      <c r="E54">
        <v>0.84</v>
      </c>
      <c r="F54">
        <v>9.5520137000000005E-2</v>
      </c>
      <c r="G54">
        <v>0.55120831800000003</v>
      </c>
      <c r="H54">
        <v>1</v>
      </c>
      <c r="I54">
        <v>0</v>
      </c>
      <c r="J54">
        <v>0</v>
      </c>
      <c r="K54">
        <v>0</v>
      </c>
    </row>
    <row r="55" spans="1:11">
      <c r="A55">
        <v>31</v>
      </c>
      <c r="B55" t="s">
        <v>52</v>
      </c>
      <c r="C55">
        <v>1.29</v>
      </c>
      <c r="D55">
        <v>34</v>
      </c>
      <c r="E55">
        <v>0.69</v>
      </c>
      <c r="F55">
        <v>0.114123508</v>
      </c>
      <c r="G55">
        <v>0.547541414</v>
      </c>
      <c r="H55">
        <v>1</v>
      </c>
      <c r="I55">
        <v>0</v>
      </c>
      <c r="J55">
        <v>0</v>
      </c>
      <c r="K55">
        <v>0</v>
      </c>
    </row>
    <row r="56" spans="1:11">
      <c r="A56">
        <v>38</v>
      </c>
      <c r="B56" t="s">
        <v>53</v>
      </c>
      <c r="C56">
        <v>1.24</v>
      </c>
      <c r="D56">
        <v>28</v>
      </c>
      <c r="E56">
        <v>0.57999999999999996</v>
      </c>
      <c r="F56">
        <v>0.124007434</v>
      </c>
      <c r="G56">
        <v>0.55680981600000001</v>
      </c>
      <c r="H56">
        <v>1</v>
      </c>
      <c r="I56">
        <v>0</v>
      </c>
      <c r="J56">
        <v>0</v>
      </c>
      <c r="K56">
        <v>0</v>
      </c>
    </row>
    <row r="57" spans="1:11">
      <c r="A57">
        <v>42</v>
      </c>
      <c r="B57" t="s">
        <v>54</v>
      </c>
      <c r="C57">
        <v>1.23</v>
      </c>
      <c r="D57">
        <v>26</v>
      </c>
      <c r="E57">
        <v>0.59</v>
      </c>
      <c r="F57">
        <v>0.128317399</v>
      </c>
      <c r="G57">
        <v>0.55870457900000003</v>
      </c>
      <c r="H57">
        <v>1</v>
      </c>
      <c r="I57">
        <v>0</v>
      </c>
      <c r="J57">
        <v>0</v>
      </c>
      <c r="K57">
        <v>0</v>
      </c>
    </row>
    <row r="58" spans="1:11">
      <c r="A58">
        <v>48</v>
      </c>
      <c r="B58" t="s">
        <v>55</v>
      </c>
      <c r="C58">
        <v>1.2</v>
      </c>
      <c r="D58">
        <v>67.8</v>
      </c>
      <c r="E58">
        <v>0.97</v>
      </c>
      <c r="F58">
        <v>7.8761867999999999E-2</v>
      </c>
      <c r="G58">
        <v>0.56447393000000001</v>
      </c>
      <c r="H58">
        <v>1</v>
      </c>
      <c r="I58">
        <v>0</v>
      </c>
      <c r="J58">
        <v>0</v>
      </c>
      <c r="K58">
        <v>0</v>
      </c>
    </row>
    <row r="59" spans="1:11">
      <c r="A59">
        <v>58</v>
      </c>
      <c r="B59" t="s">
        <v>56</v>
      </c>
      <c r="C59">
        <v>1.17</v>
      </c>
      <c r="D59">
        <v>27.7</v>
      </c>
      <c r="E59">
        <v>0.46</v>
      </c>
      <c r="F59">
        <v>0.122103455</v>
      </c>
      <c r="G59">
        <v>0.57037441600000005</v>
      </c>
      <c r="H59">
        <v>1</v>
      </c>
      <c r="I59">
        <v>0</v>
      </c>
      <c r="J59">
        <v>0</v>
      </c>
      <c r="K59">
        <v>0</v>
      </c>
    </row>
    <row r="60" spans="1:11">
      <c r="A60">
        <v>61</v>
      </c>
      <c r="B60" t="s">
        <v>57</v>
      </c>
      <c r="C60">
        <v>1.1499999999999999</v>
      </c>
      <c r="D60">
        <v>42</v>
      </c>
      <c r="E60">
        <v>0.52</v>
      </c>
      <c r="F60">
        <v>9.8544020999999996E-2</v>
      </c>
      <c r="G60">
        <v>0.57438325999999995</v>
      </c>
      <c r="H60">
        <v>1</v>
      </c>
      <c r="I60">
        <v>0</v>
      </c>
      <c r="J60">
        <v>0</v>
      </c>
      <c r="K60">
        <v>0</v>
      </c>
    </row>
    <row r="61" spans="1:11">
      <c r="A61">
        <v>67</v>
      </c>
      <c r="B61" t="s">
        <v>58</v>
      </c>
      <c r="C61">
        <v>1.1499999999999999</v>
      </c>
      <c r="D61">
        <v>101</v>
      </c>
      <c r="E61">
        <v>0.66</v>
      </c>
      <c r="F61">
        <v>6.3546881E-2</v>
      </c>
      <c r="G61">
        <v>0.57438325999999995</v>
      </c>
      <c r="H61">
        <v>7.0000000000000007E-2</v>
      </c>
      <c r="I61">
        <v>0</v>
      </c>
      <c r="J61">
        <v>0</v>
      </c>
      <c r="K61">
        <v>0</v>
      </c>
    </row>
    <row r="62" spans="1:11">
      <c r="A62">
        <v>89</v>
      </c>
      <c r="B62" t="s">
        <v>59</v>
      </c>
      <c r="C62">
        <v>1.1299999999999999</v>
      </c>
      <c r="D62">
        <v>44.1</v>
      </c>
      <c r="E62">
        <v>0.46</v>
      </c>
      <c r="F62">
        <v>9.5557223999999996E-2</v>
      </c>
      <c r="G62">
        <v>0.57845395399999999</v>
      </c>
      <c r="H62">
        <v>1</v>
      </c>
      <c r="I62">
        <v>0</v>
      </c>
      <c r="J62">
        <v>0</v>
      </c>
      <c r="K62">
        <v>0</v>
      </c>
    </row>
    <row r="63" spans="1:11">
      <c r="A63">
        <v>32</v>
      </c>
      <c r="B63" t="s">
        <v>60</v>
      </c>
      <c r="C63">
        <v>1.26</v>
      </c>
      <c r="D63">
        <v>64</v>
      </c>
      <c r="E63">
        <v>0.73</v>
      </c>
      <c r="F63">
        <v>8.2491310999999998E-2</v>
      </c>
      <c r="G63">
        <v>0.55306184400000002</v>
      </c>
      <c r="H63">
        <v>1</v>
      </c>
      <c r="I63">
        <v>0</v>
      </c>
      <c r="J63">
        <v>0</v>
      </c>
      <c r="K63">
        <v>0</v>
      </c>
    </row>
    <row r="71" spans="1:18">
      <c r="A71" s="3" t="s">
        <v>78</v>
      </c>
      <c r="B71" s="3" t="s">
        <v>79</v>
      </c>
      <c r="C71" s="3"/>
      <c r="D71" s="3"/>
      <c r="E71" s="3" t="s">
        <v>80</v>
      </c>
      <c r="F71" s="3"/>
      <c r="G71" s="3"/>
      <c r="H71" s="3" t="s">
        <v>81</v>
      </c>
      <c r="I71" s="3" t="s">
        <v>82</v>
      </c>
      <c r="J71" s="3" t="s">
        <v>83</v>
      </c>
      <c r="K71" s="3" t="s">
        <v>84</v>
      </c>
      <c r="L71" s="3" t="s">
        <v>85</v>
      </c>
      <c r="M71" s="3" t="s">
        <v>86</v>
      </c>
      <c r="N71" s="3" t="s">
        <v>87</v>
      </c>
      <c r="O71" s="3" t="s">
        <v>88</v>
      </c>
      <c r="P71" s="3" t="s">
        <v>89</v>
      </c>
      <c r="Q71" s="3" t="s">
        <v>90</v>
      </c>
      <c r="R71" s="3" t="s">
        <v>91</v>
      </c>
    </row>
    <row r="72" spans="1:18">
      <c r="A72" s="3"/>
      <c r="B72" s="3" t="s">
        <v>97</v>
      </c>
      <c r="C72" s="3" t="s">
        <v>98</v>
      </c>
      <c r="D72" s="3" t="s">
        <v>99</v>
      </c>
      <c r="E72" s="3" t="s">
        <v>97</v>
      </c>
      <c r="F72" s="3" t="s">
        <v>98</v>
      </c>
      <c r="G72" s="3" t="s">
        <v>99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A73" t="s">
        <v>100</v>
      </c>
      <c r="B73">
        <v>-0.33813199999999999</v>
      </c>
      <c r="C73">
        <v>2.8140770000000002</v>
      </c>
      <c r="D73">
        <v>-1.645232</v>
      </c>
      <c r="E73">
        <v>-2.05063</v>
      </c>
      <c r="F73">
        <v>22.548559999999998</v>
      </c>
      <c r="G73">
        <v>-10.3344</v>
      </c>
      <c r="H73">
        <v>-5.1999999999999998E-2</v>
      </c>
      <c r="I73">
        <v>1.1028</v>
      </c>
      <c r="J73">
        <v>300</v>
      </c>
      <c r="K73">
        <v>-6.7396554885895297</v>
      </c>
      <c r="L73">
        <v>87.188622436389707</v>
      </c>
      <c r="M73">
        <v>-375.138679029412</v>
      </c>
      <c r="N73">
        <v>698.40458649347795</v>
      </c>
      <c r="O73">
        <v>-455.63894455437099</v>
      </c>
      <c r="P73">
        <v>0.46439999999999998</v>
      </c>
      <c r="Q73">
        <v>3195</v>
      </c>
      <c r="R73">
        <v>3195.5524099999998</v>
      </c>
    </row>
    <row r="74" spans="1:18" ht="15.75">
      <c r="A74" t="s">
        <v>101</v>
      </c>
      <c r="B74" s="5">
        <v>-0.13090099999999999</v>
      </c>
      <c r="C74" s="5">
        <v>1.5433110000000001</v>
      </c>
      <c r="D74" s="5">
        <v>-0.775613</v>
      </c>
      <c r="E74" s="5">
        <v>-1.80877</v>
      </c>
      <c r="F74" s="5">
        <v>20.541810000000002</v>
      </c>
      <c r="G74" s="5">
        <v>-9.7404799999999998</v>
      </c>
      <c r="H74">
        <v>-5.1999999999999998E-2</v>
      </c>
      <c r="I74">
        <v>1.1028</v>
      </c>
      <c r="J74" s="5">
        <v>300</v>
      </c>
      <c r="K74" s="5">
        <v>-8.7614999999999998</v>
      </c>
      <c r="L74" s="5">
        <v>113.34</v>
      </c>
      <c r="M74" s="5">
        <v>-487.68</v>
      </c>
      <c r="N74" s="5">
        <v>907.93</v>
      </c>
      <c r="O74" s="5">
        <v>-592.33000000000004</v>
      </c>
      <c r="P74">
        <v>0.46439999999999998</v>
      </c>
      <c r="Q74">
        <v>3195</v>
      </c>
      <c r="R74">
        <v>3195</v>
      </c>
    </row>
    <row r="75" spans="1:18" ht="15.75">
      <c r="A75" t="s">
        <v>102</v>
      </c>
      <c r="B75">
        <v>-0.18542162508070001</v>
      </c>
      <c r="C75">
        <v>1.9169680267538001</v>
      </c>
      <c r="D75">
        <v>-1.40999305747901</v>
      </c>
      <c r="E75">
        <v>-4.5657610190646301</v>
      </c>
      <c r="F75">
        <v>44.304455448528699</v>
      </c>
      <c r="G75">
        <v>-57.436038812065597</v>
      </c>
      <c r="H75">
        <v>-5.1999999999999998E-2</v>
      </c>
      <c r="I75">
        <v>1.1028</v>
      </c>
      <c r="J75" s="5">
        <v>300</v>
      </c>
      <c r="K75">
        <v>-11.251648982377301</v>
      </c>
      <c r="L75">
        <v>154.40745158223399</v>
      </c>
      <c r="M75">
        <v>-725.11479760154805</v>
      </c>
      <c r="N75">
        <v>1478.81013841609</v>
      </c>
      <c r="O75">
        <v>-1080.90411587727</v>
      </c>
      <c r="P75">
        <v>0.46439999999999998</v>
      </c>
      <c r="Q75">
        <v>3186</v>
      </c>
      <c r="R75">
        <v>3178</v>
      </c>
    </row>
    <row r="76" spans="1:18" ht="15.75">
      <c r="A76" t="s">
        <v>104</v>
      </c>
      <c r="B76">
        <v>-0.48090594855137297</v>
      </c>
      <c r="C76">
        <v>4.65347670238517</v>
      </c>
      <c r="D76">
        <v>-1.49310550768043</v>
      </c>
      <c r="E76">
        <v>-4.3290425861030197</v>
      </c>
      <c r="F76">
        <v>42.070737876288703</v>
      </c>
      <c r="G76">
        <v>-51.551858930357902</v>
      </c>
      <c r="H76">
        <v>-5.1999999999999998E-2</v>
      </c>
      <c r="I76">
        <v>1.1028</v>
      </c>
      <c r="J76" s="5">
        <v>300</v>
      </c>
      <c r="K76">
        <v>-14.106183011119199</v>
      </c>
      <c r="L76">
        <v>195.66123310039899</v>
      </c>
      <c r="M76">
        <v>-938.62557947154698</v>
      </c>
      <c r="N76">
        <v>1947.9645605580899</v>
      </c>
      <c r="O76">
        <v>-1453.5292052402001</v>
      </c>
      <c r="P76">
        <v>0.46439999999999998</v>
      </c>
      <c r="Q76">
        <v>3135.7858660000002</v>
      </c>
      <c r="R76">
        <v>3189</v>
      </c>
    </row>
    <row r="77" spans="1:18">
      <c r="A77" t="s">
        <v>105</v>
      </c>
      <c r="B77">
        <v>-0.61938483958160095</v>
      </c>
      <c r="C77">
        <v>6.0034633671039703</v>
      </c>
      <c r="D77">
        <v>-2.3330726502605201</v>
      </c>
      <c r="E77">
        <v>-2.05063</v>
      </c>
      <c r="F77">
        <v>22.548559999999998</v>
      </c>
      <c r="G77">
        <v>-10.3344</v>
      </c>
      <c r="H77">
        <v>-5.1999999999999998E-2</v>
      </c>
      <c r="I77">
        <v>1.1028</v>
      </c>
      <c r="J77">
        <v>300</v>
      </c>
      <c r="K77">
        <v>-5.5109501918868702</v>
      </c>
      <c r="L77">
        <v>68.6443991098254</v>
      </c>
      <c r="M77">
        <v>-259.41613826665002</v>
      </c>
      <c r="N77">
        <v>409.72945005738501</v>
      </c>
      <c r="O77">
        <v>-208.778662860889</v>
      </c>
      <c r="P77">
        <v>0.46439999999999998</v>
      </c>
      <c r="Q77">
        <v>3195</v>
      </c>
      <c r="R77">
        <v>3195</v>
      </c>
    </row>
    <row r="78" spans="1:18">
      <c r="A78" t="s">
        <v>106</v>
      </c>
      <c r="B78">
        <v>-0.32862675583523199</v>
      </c>
      <c r="C78">
        <v>3.3141443374848798</v>
      </c>
      <c r="D78">
        <v>-0.83253823998076804</v>
      </c>
      <c r="E78">
        <v>-4.5657610190646301</v>
      </c>
      <c r="F78">
        <v>44.304455448528699</v>
      </c>
      <c r="G78">
        <v>-57.436038812065597</v>
      </c>
      <c r="H78">
        <v>-5.1999999999999998E-2</v>
      </c>
      <c r="I78">
        <v>1.1028</v>
      </c>
      <c r="J78">
        <v>300</v>
      </c>
      <c r="K78">
        <v>-5.1791096962242298</v>
      </c>
      <c r="L78">
        <v>63.126969122863997</v>
      </c>
      <c r="M78">
        <v>-231.01559351869901</v>
      </c>
      <c r="N78">
        <v>353.78002402822</v>
      </c>
      <c r="O78">
        <v>-174.12568249367999</v>
      </c>
      <c r="P78">
        <v>0.46439999999999998</v>
      </c>
      <c r="Q78">
        <v>3186.4517089999999</v>
      </c>
      <c r="R78">
        <v>3178</v>
      </c>
    </row>
    <row r="79" spans="1:18">
      <c r="A79" t="s">
        <v>107</v>
      </c>
      <c r="B79">
        <v>-0.39432378898833098</v>
      </c>
      <c r="C79">
        <v>3.7604065992857101</v>
      </c>
      <c r="D79">
        <v>-1.56521407002074</v>
      </c>
      <c r="E79">
        <v>-4.4486345189764904</v>
      </c>
      <c r="F79">
        <v>43.196020701704398</v>
      </c>
      <c r="G79">
        <v>-53.906343551852601</v>
      </c>
      <c r="H79">
        <v>-5.1999999999999998E-2</v>
      </c>
      <c r="I79">
        <v>1.1028</v>
      </c>
      <c r="J79">
        <v>300</v>
      </c>
      <c r="K79">
        <v>-4.9945437430130299</v>
      </c>
      <c r="L79">
        <v>61.8417356214756</v>
      </c>
      <c r="M79">
        <v>-231.51962611406699</v>
      </c>
      <c r="N79">
        <v>360.830904566161</v>
      </c>
      <c r="O79">
        <v>-182.363556503213</v>
      </c>
      <c r="P79">
        <v>0.46439999999999998</v>
      </c>
      <c r="Q79">
        <v>3153.7201679999998</v>
      </c>
      <c r="R79">
        <v>3153.7201679999998</v>
      </c>
    </row>
    <row r="80" spans="1:18">
      <c r="A80" t="s">
        <v>108</v>
      </c>
      <c r="B80">
        <v>-0.30415660808999301</v>
      </c>
      <c r="C80">
        <v>3.3755036205000901</v>
      </c>
      <c r="D80">
        <v>-1.41381991991565</v>
      </c>
      <c r="E80">
        <v>-2.6703658876088001</v>
      </c>
      <c r="F80">
        <v>27.251694644548301</v>
      </c>
      <c r="G80">
        <v>-19.794408145566901</v>
      </c>
      <c r="H80">
        <v>-5.1999999999999998E-2</v>
      </c>
      <c r="I80">
        <v>1.1028</v>
      </c>
      <c r="J80">
        <v>300</v>
      </c>
      <c r="K80">
        <v>-5.1759848945157696</v>
      </c>
      <c r="L80">
        <v>63.567550014420803</v>
      </c>
      <c r="M80">
        <v>-236.95196348781201</v>
      </c>
      <c r="N80">
        <v>368.09174938550001</v>
      </c>
      <c r="O80">
        <v>-185.68923944104</v>
      </c>
      <c r="P80">
        <v>0.46439999999999998</v>
      </c>
      <c r="Q80">
        <v>3170.2968860000001</v>
      </c>
      <c r="R80">
        <v>3193.5</v>
      </c>
    </row>
    <row r="81" spans="1:18">
      <c r="A81" t="s">
        <v>109</v>
      </c>
      <c r="B81">
        <v>-0.24013928353727601</v>
      </c>
      <c r="C81">
        <v>2.9093504149718998</v>
      </c>
      <c r="D81">
        <v>-0.51718913592465299</v>
      </c>
      <c r="E81">
        <v>-2.4487720018934001</v>
      </c>
      <c r="F81">
        <v>25.311062329080201</v>
      </c>
      <c r="G81">
        <v>-15.9227067368693</v>
      </c>
      <c r="H81">
        <v>-5.1999999999999998E-2</v>
      </c>
      <c r="I81">
        <v>1.1028</v>
      </c>
      <c r="J81">
        <v>300</v>
      </c>
      <c r="K81">
        <v>-5.2123989217500304</v>
      </c>
      <c r="L81">
        <v>63.8438030364117</v>
      </c>
      <c r="M81">
        <v>-237.58061200522201</v>
      </c>
      <c r="N81">
        <v>368.49509959579802</v>
      </c>
      <c r="O81">
        <v>-186.17710678040501</v>
      </c>
      <c r="P81">
        <v>0.46439999999999998</v>
      </c>
      <c r="Q81">
        <v>3143.2415759999999</v>
      </c>
      <c r="R81">
        <v>3177.6</v>
      </c>
    </row>
    <row r="82" spans="1:18">
      <c r="A82" t="s">
        <v>110</v>
      </c>
      <c r="B82">
        <v>-0.162104973520345</v>
      </c>
      <c r="C82">
        <v>2.4930778200919699</v>
      </c>
      <c r="D82">
        <v>-0.18286754178947301</v>
      </c>
      <c r="E82">
        <v>-2.6176090872467199</v>
      </c>
      <c r="F82">
        <v>26.524102762752701</v>
      </c>
      <c r="G82">
        <v>-18.437457631002601</v>
      </c>
      <c r="H82">
        <v>-5.1999999999999998E-2</v>
      </c>
      <c r="I82">
        <v>1.1028</v>
      </c>
      <c r="J82">
        <v>300</v>
      </c>
      <c r="K82">
        <v>-5.2127157269919904</v>
      </c>
      <c r="L82">
        <v>64.008584291967097</v>
      </c>
      <c r="M82">
        <v>-238.31186625738201</v>
      </c>
      <c r="N82">
        <v>369.92725476679101</v>
      </c>
      <c r="O82">
        <v>-185.19770117034599</v>
      </c>
      <c r="P82">
        <v>0.46439999999999998</v>
      </c>
      <c r="Q82">
        <v>3182.74</v>
      </c>
      <c r="R82">
        <v>3182.7429750000001</v>
      </c>
    </row>
    <row r="83" spans="1:18">
      <c r="A83" t="s">
        <v>111</v>
      </c>
      <c r="B83">
        <v>-0.26803059301138699</v>
      </c>
      <c r="C83">
        <v>2.91739685247398</v>
      </c>
      <c r="D83">
        <v>-1.1660299141339301</v>
      </c>
      <c r="E83">
        <v>-2.9231487202459001</v>
      </c>
      <c r="F83">
        <v>27.631232735723898</v>
      </c>
      <c r="G83">
        <v>-21.450885602512301</v>
      </c>
      <c r="H83">
        <v>-5.1999999999999998E-2</v>
      </c>
      <c r="I83">
        <v>1.1028</v>
      </c>
      <c r="J83">
        <v>300</v>
      </c>
      <c r="K83">
        <v>-5.4117689740769901</v>
      </c>
      <c r="L83">
        <v>66.1134699426362</v>
      </c>
      <c r="M83">
        <v>-246.84126346625601</v>
      </c>
      <c r="N83">
        <v>384.936934330236</v>
      </c>
      <c r="O83">
        <v>-196.26973130502199</v>
      </c>
      <c r="P83">
        <v>0.46439999999999998</v>
      </c>
      <c r="Q83">
        <v>3147.05</v>
      </c>
      <c r="R83">
        <v>3180.1179999999999</v>
      </c>
    </row>
    <row r="84" spans="1:18">
      <c r="A84" t="s">
        <v>112</v>
      </c>
      <c r="B84">
        <v>-0.237658341020965</v>
      </c>
      <c r="C84">
        <v>2.7263836644201902</v>
      </c>
      <c r="D84">
        <v>-1.0527719743458199</v>
      </c>
      <c r="E84">
        <v>-2.8210339169623899</v>
      </c>
      <c r="F84">
        <v>26.9965317353026</v>
      </c>
      <c r="G84">
        <v>-20.826162031563701</v>
      </c>
      <c r="H84">
        <v>-5.1999999999999998E-2</v>
      </c>
      <c r="I84">
        <v>1.1028</v>
      </c>
      <c r="J84">
        <v>300</v>
      </c>
      <c r="K84">
        <v>-5.5276278518760504</v>
      </c>
      <c r="L84">
        <v>67.411703752303694</v>
      </c>
      <c r="M84">
        <v>-251.96761078077699</v>
      </c>
      <c r="N84">
        <v>393.24515616566498</v>
      </c>
      <c r="O84">
        <v>-201.03439183269199</v>
      </c>
      <c r="P84">
        <v>0.46439999999999998</v>
      </c>
      <c r="Q84">
        <v>3069.63</v>
      </c>
      <c r="R84">
        <v>3186.6170000000002</v>
      </c>
    </row>
    <row r="85" spans="1:18">
      <c r="A85" t="s">
        <v>113</v>
      </c>
      <c r="B85">
        <v>-0.25096937378251999</v>
      </c>
      <c r="C85">
        <v>2.8412008352834799</v>
      </c>
      <c r="D85">
        <v>-1.14682154899529</v>
      </c>
      <c r="E85">
        <v>-3.1060344825307502</v>
      </c>
      <c r="F85">
        <v>29.531960180549099</v>
      </c>
      <c r="G85">
        <v>-26.187532419312198</v>
      </c>
      <c r="H85">
        <v>-5.1999999999999998E-2</v>
      </c>
      <c r="I85">
        <v>1.1028</v>
      </c>
      <c r="J85">
        <v>300</v>
      </c>
      <c r="K85" s="6">
        <v>-5.4921016490000003</v>
      </c>
      <c r="L85" s="6">
        <v>67.199697389999997</v>
      </c>
      <c r="M85" s="6">
        <v>-251.75492650000001</v>
      </c>
      <c r="N85" s="6">
        <v>394.18041670000002</v>
      </c>
      <c r="O85" s="6">
        <v>-202.2943636</v>
      </c>
      <c r="P85">
        <v>0.46439999999999998</v>
      </c>
      <c r="Q85">
        <v>3161.85</v>
      </c>
      <c r="R85">
        <v>3161.851326</v>
      </c>
    </row>
    <row r="86" spans="1:18">
      <c r="A86" s="1" t="s">
        <v>114</v>
      </c>
      <c r="B86">
        <v>-0.26788610327151202</v>
      </c>
      <c r="C86">
        <v>2.9042116436086798</v>
      </c>
      <c r="D86">
        <v>-1.1840186898223399</v>
      </c>
      <c r="E86">
        <v>-2.9123537934240602</v>
      </c>
      <c r="F86">
        <v>27.3867386576567</v>
      </c>
      <c r="G86">
        <v>-20.955255896052201</v>
      </c>
      <c r="H86">
        <v>-5.1999999999999998E-2</v>
      </c>
      <c r="I86">
        <v>1.1028</v>
      </c>
      <c r="J86">
        <v>300</v>
      </c>
      <c r="K86">
        <v>-5.4293399546660597</v>
      </c>
      <c r="L86">
        <v>66.417595745138698</v>
      </c>
      <c r="M86">
        <v>-248.178766475656</v>
      </c>
      <c r="N86">
        <v>387.47900469313601</v>
      </c>
      <c r="O86">
        <v>-198.12551234375101</v>
      </c>
      <c r="P86">
        <v>0.46439999999999998</v>
      </c>
      <c r="Q86">
        <v>3090.23</v>
      </c>
      <c r="R86">
        <v>3181.1849999999999</v>
      </c>
    </row>
    <row r="87" spans="1:18">
      <c r="A87" t="s">
        <v>115</v>
      </c>
      <c r="B87">
        <v>-0.246226692928559</v>
      </c>
      <c r="C87">
        <v>2.78236033148645</v>
      </c>
      <c r="D87">
        <v>-1.1247196750974</v>
      </c>
      <c r="E87">
        <v>-1.4695139176307701</v>
      </c>
      <c r="F87">
        <v>18.283299148561699</v>
      </c>
      <c r="G87">
        <v>-2.8048939841431202</v>
      </c>
      <c r="H87">
        <v>-5.1999999999999998E-2</v>
      </c>
      <c r="I87">
        <v>1.1028</v>
      </c>
      <c r="J87">
        <v>300</v>
      </c>
      <c r="K87">
        <v>-5.4452472251111201</v>
      </c>
      <c r="L87">
        <v>66.618164058087999</v>
      </c>
      <c r="M87">
        <v>-249.656669785784</v>
      </c>
      <c r="N87">
        <v>391.07222505396197</v>
      </c>
      <c r="O87">
        <v>-200.65324570912</v>
      </c>
      <c r="P87">
        <v>0.46439999999999998</v>
      </c>
      <c r="Q87">
        <v>3163.38</v>
      </c>
      <c r="R87">
        <v>3163.3856569999998</v>
      </c>
    </row>
    <row r="88" spans="1:18">
      <c r="A88" t="s">
        <v>116</v>
      </c>
      <c r="B88">
        <v>-0.291021959</v>
      </c>
      <c r="C88">
        <v>3.0935521509999999</v>
      </c>
      <c r="D88">
        <v>-1.6192786379999999</v>
      </c>
      <c r="E88">
        <v>-2.9118254659999998</v>
      </c>
      <c r="F88">
        <v>28.503106469999999</v>
      </c>
      <c r="G88">
        <v>-24.480333359999999</v>
      </c>
      <c r="H88">
        <v>-5.1999999999999998E-2</v>
      </c>
      <c r="I88">
        <v>1.1028</v>
      </c>
      <c r="J88">
        <v>300</v>
      </c>
      <c r="K88">
        <v>-5.6000020749999999</v>
      </c>
      <c r="L88">
        <v>68.419887329999995</v>
      </c>
      <c r="M88">
        <v>-256.01488380000001</v>
      </c>
      <c r="N88">
        <v>398.4215926</v>
      </c>
      <c r="O88">
        <v>-203.74509889999999</v>
      </c>
      <c r="P88">
        <v>0.46439999999999998</v>
      </c>
      <c r="Q88">
        <v>3192.196242</v>
      </c>
      <c r="R88">
        <v>3192.196242</v>
      </c>
    </row>
    <row r="89" spans="1:18">
      <c r="A89" t="s">
        <v>117</v>
      </c>
      <c r="B89">
        <v>-0.27200844499999999</v>
      </c>
      <c r="C89">
        <v>2.9115501579999998</v>
      </c>
      <c r="D89">
        <v>-1.209397179</v>
      </c>
      <c r="E89">
        <v>-2.84429262</v>
      </c>
      <c r="F89">
        <v>27.396217650000001</v>
      </c>
      <c r="G89">
        <v>-22.015861109999999</v>
      </c>
      <c r="H89">
        <v>-5.1999999999999998E-2</v>
      </c>
      <c r="I89">
        <v>1.1028</v>
      </c>
      <c r="J89">
        <v>300</v>
      </c>
      <c r="K89">
        <v>-5.5558391809999996</v>
      </c>
      <c r="L89">
        <v>68.161330000000007</v>
      </c>
      <c r="M89">
        <v>-255.68524600000001</v>
      </c>
      <c r="N89">
        <v>399.52349099999998</v>
      </c>
      <c r="O89">
        <v>-205.37366119999999</v>
      </c>
      <c r="P89">
        <v>0.46439999999999998</v>
      </c>
      <c r="Q89">
        <v>3194.4289330000001</v>
      </c>
      <c r="R89">
        <v>3194.4289330000001</v>
      </c>
    </row>
    <row r="90" spans="1:18">
      <c r="A90" t="s">
        <v>118</v>
      </c>
      <c r="B90">
        <v>-0.23686537799999999</v>
      </c>
      <c r="C90">
        <v>2.8275624590000001</v>
      </c>
      <c r="D90">
        <v>-1.0536687490000001</v>
      </c>
      <c r="E90">
        <v>-2.8468868660000002</v>
      </c>
      <c r="F90">
        <v>27.69521962</v>
      </c>
      <c r="G90">
        <v>-22.979847929999998</v>
      </c>
      <c r="H90">
        <v>-5.1999999999999998E-2</v>
      </c>
      <c r="I90">
        <v>1.1028</v>
      </c>
      <c r="J90">
        <v>300</v>
      </c>
      <c r="K90">
        <v>-5.5541579040000002</v>
      </c>
      <c r="L90">
        <v>68.100664899999998</v>
      </c>
      <c r="M90">
        <v>-255.06756039999999</v>
      </c>
      <c r="N90">
        <v>397.74557449999998</v>
      </c>
      <c r="O90">
        <v>-204.3110964</v>
      </c>
      <c r="P90">
        <v>0.46439999999999998</v>
      </c>
      <c r="Q90">
        <v>3194.3763410000001</v>
      </c>
      <c r="R90">
        <v>3194.3763410000001</v>
      </c>
    </row>
    <row r="91" spans="1:18">
      <c r="A91" t="s">
        <v>119</v>
      </c>
      <c r="B91">
        <v>-0.26349748899999997</v>
      </c>
      <c r="C91">
        <v>3.1021653800000002</v>
      </c>
      <c r="D91">
        <v>-1.4630616700000001</v>
      </c>
      <c r="E91">
        <v>-2.9840056929999998</v>
      </c>
      <c r="F91">
        <v>30.492360269999999</v>
      </c>
      <c r="G91">
        <v>-29.40416235</v>
      </c>
      <c r="H91">
        <v>-5.1999999999999998E-2</v>
      </c>
      <c r="I91">
        <v>1.1028</v>
      </c>
      <c r="J91">
        <v>300</v>
      </c>
      <c r="K91">
        <v>-5.6251051570000001</v>
      </c>
      <c r="L91">
        <v>68.667898429999994</v>
      </c>
      <c r="M91">
        <v>-256.95547299999998</v>
      </c>
      <c r="N91">
        <v>401.37097899999998</v>
      </c>
      <c r="O91">
        <v>-206.22197639999999</v>
      </c>
      <c r="P91">
        <v>0.46439999999999998</v>
      </c>
      <c r="Q91">
        <v>3194.8846349999999</v>
      </c>
      <c r="R91">
        <v>3194.8846349999999</v>
      </c>
    </row>
    <row r="92" spans="1:18">
      <c r="A92" t="s">
        <v>120</v>
      </c>
      <c r="B92">
        <v>-0.34786690599999998</v>
      </c>
      <c r="C92">
        <v>3.8026300580000001</v>
      </c>
      <c r="D92">
        <v>-1.887415354</v>
      </c>
      <c r="E92">
        <v>-2.8599566090000001</v>
      </c>
      <c r="F92">
        <v>29.434663650000001</v>
      </c>
      <c r="G92">
        <v>-27.099312730000001</v>
      </c>
      <c r="H92">
        <v>-5.1999999999999998E-2</v>
      </c>
      <c r="I92">
        <v>1.1028</v>
      </c>
      <c r="J92">
        <v>300</v>
      </c>
      <c r="K92">
        <v>-3.988950794</v>
      </c>
      <c r="L92">
        <v>52.131645880000001</v>
      </c>
      <c r="M92">
        <v>-201.11577610000001</v>
      </c>
      <c r="N92">
        <v>321.47957259999998</v>
      </c>
      <c r="O92">
        <v>-166.29196239999999</v>
      </c>
      <c r="P92">
        <v>0.46439999999999998</v>
      </c>
      <c r="Q92">
        <v>3186.1666909999999</v>
      </c>
      <c r="R92">
        <f>Q92</f>
        <v>3186.1666909999999</v>
      </c>
    </row>
    <row r="93" spans="1:18">
      <c r="A93" t="s">
        <v>121</v>
      </c>
      <c r="B93">
        <v>-0.45235294500000001</v>
      </c>
      <c r="C93">
        <v>4.234889184</v>
      </c>
      <c r="D93">
        <v>-1.9443502399999999</v>
      </c>
      <c r="E93">
        <v>-2.9142694659999999</v>
      </c>
      <c r="F93">
        <v>28.876556529999998</v>
      </c>
      <c r="G93">
        <v>-23.402975489999999</v>
      </c>
      <c r="H93">
        <v>-5.1999999999999998E-2</v>
      </c>
      <c r="I93">
        <v>1.1028</v>
      </c>
      <c r="J93">
        <v>300</v>
      </c>
      <c r="K93">
        <v>-4.9933252379999997</v>
      </c>
      <c r="L93">
        <v>63.77408527</v>
      </c>
      <c r="M93">
        <v>-240.8019098</v>
      </c>
      <c r="N93">
        <v>378.63063890000001</v>
      </c>
      <c r="O93">
        <v>-190.9759799</v>
      </c>
      <c r="P93">
        <v>0.46439999999999998</v>
      </c>
      <c r="Q93">
        <v>3190.4885789999998</v>
      </c>
      <c r="R93">
        <f>Q93</f>
        <v>3190.4885789999998</v>
      </c>
    </row>
  </sheetData>
  <phoneticPr fontId="7" type="noConversion"/>
  <pageMargins left="0.75" right="0.75" top="1" bottom="1" header="0.5" footer="0.5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5"/>
  <sheetViews>
    <sheetView workbookViewId="0">
      <selection activeCell="A23" sqref="A23"/>
    </sheetView>
  </sheetViews>
  <sheetFormatPr defaultColWidth="9" defaultRowHeight="14.25"/>
  <cols>
    <col min="1" max="1" width="13.375" customWidth="1"/>
    <col min="2" max="2" width="10.75" customWidth="1"/>
    <col min="3" max="3" width="9.375" customWidth="1"/>
    <col min="4" max="4" width="5.25" hidden="1" customWidth="1"/>
    <col min="5" max="9" width="9" hidden="1" customWidth="1"/>
    <col min="10" max="10" width="9.375" hidden="1" customWidth="1"/>
    <col min="11" max="11" width="10.375" hidden="1" customWidth="1"/>
    <col min="12" max="12" width="11.5" hidden="1" customWidth="1"/>
    <col min="13" max="13" width="12.625" hidden="1" customWidth="1"/>
    <col min="14" max="23" width="9" customWidth="1"/>
  </cols>
  <sheetData>
    <row r="1" spans="1:24">
      <c r="A1" s="1" t="s">
        <v>196</v>
      </c>
    </row>
    <row r="2" spans="1:24">
      <c r="A2" s="1" t="s">
        <v>197</v>
      </c>
      <c r="B2" t="s">
        <v>198</v>
      </c>
      <c r="C2" t="s">
        <v>32</v>
      </c>
    </row>
    <row r="3" spans="1:24">
      <c r="A3" s="1" t="s">
        <v>71</v>
      </c>
      <c r="B3" t="s">
        <v>18</v>
      </c>
    </row>
    <row r="4" spans="1:24">
      <c r="A4" s="1" t="s">
        <v>73</v>
      </c>
      <c r="B4" t="s">
        <v>20</v>
      </c>
    </row>
    <row r="5" spans="1:24">
      <c r="A5" s="1" t="s">
        <v>199</v>
      </c>
      <c r="B5" t="s">
        <v>22</v>
      </c>
    </row>
    <row r="6" spans="1:24">
      <c r="A6" s="1" t="s">
        <v>200</v>
      </c>
      <c r="B6" t="s">
        <v>201</v>
      </c>
    </row>
    <row r="7" spans="1:24">
      <c r="A7" s="1" t="s">
        <v>202</v>
      </c>
      <c r="B7" t="s">
        <v>203</v>
      </c>
    </row>
    <row r="8" spans="1:24">
      <c r="A8" s="1" t="s">
        <v>204</v>
      </c>
      <c r="B8" t="s">
        <v>205</v>
      </c>
    </row>
    <row r="9" spans="1:24">
      <c r="A9" s="1" t="s">
        <v>206</v>
      </c>
      <c r="B9" t="s">
        <v>207</v>
      </c>
    </row>
    <row r="10" spans="1:24">
      <c r="A10" s="1" t="s">
        <v>208</v>
      </c>
      <c r="B10" t="s">
        <v>209</v>
      </c>
    </row>
    <row r="11" spans="1:24">
      <c r="A11" s="1" t="s">
        <v>210</v>
      </c>
      <c r="B11" t="s">
        <v>211</v>
      </c>
    </row>
    <row r="14" spans="1:24">
      <c r="A14" t="s">
        <v>0</v>
      </c>
      <c r="B14" t="s">
        <v>1</v>
      </c>
      <c r="C14" t="s">
        <v>212</v>
      </c>
      <c r="D14" t="s">
        <v>213</v>
      </c>
      <c r="E14" t="s">
        <v>214</v>
      </c>
      <c r="F14" t="s">
        <v>215</v>
      </c>
      <c r="G14" t="s">
        <v>216</v>
      </c>
      <c r="H14" t="s">
        <v>217</v>
      </c>
      <c r="I14" t="s">
        <v>218</v>
      </c>
      <c r="J14" t="s">
        <v>219</v>
      </c>
      <c r="K14" t="s">
        <v>220</v>
      </c>
      <c r="L14" t="s">
        <v>221</v>
      </c>
      <c r="M14" t="s">
        <v>222</v>
      </c>
      <c r="N14" t="s">
        <v>223</v>
      </c>
      <c r="O14" t="s">
        <v>224</v>
      </c>
      <c r="P14" t="s">
        <v>225</v>
      </c>
      <c r="Q14" t="s">
        <v>226</v>
      </c>
      <c r="R14" t="s">
        <v>227</v>
      </c>
      <c r="S14" t="s">
        <v>228</v>
      </c>
      <c r="T14" t="s">
        <v>229</v>
      </c>
      <c r="U14" t="s">
        <v>230</v>
      </c>
      <c r="V14" t="s">
        <v>231</v>
      </c>
      <c r="W14" t="s">
        <v>232</v>
      </c>
    </row>
    <row r="15" spans="1:24">
      <c r="A15">
        <v>108</v>
      </c>
      <c r="B15" t="s">
        <v>21</v>
      </c>
      <c r="C15">
        <v>150</v>
      </c>
      <c r="D15">
        <f>0.1*$C$15</f>
        <v>15</v>
      </c>
      <c r="E15">
        <f>0.2*C15</f>
        <v>30</v>
      </c>
      <c r="F15">
        <f>0.3*C15</f>
        <v>45</v>
      </c>
      <c r="G15">
        <f>0.4*C15</f>
        <v>60</v>
      </c>
      <c r="H15">
        <f>0.5*C15</f>
        <v>75</v>
      </c>
      <c r="I15">
        <f>0.6*C15</f>
        <v>90</v>
      </c>
      <c r="J15">
        <f>0.7*C15</f>
        <v>105</v>
      </c>
      <c r="K15">
        <f>0.8*C15</f>
        <v>120</v>
      </c>
      <c r="L15">
        <f>0.9*C15</f>
        <v>135</v>
      </c>
      <c r="M15">
        <f>1*C15</f>
        <v>150</v>
      </c>
      <c r="N15">
        <v>1.0020734149999999</v>
      </c>
      <c r="O15">
        <v>1.002364604</v>
      </c>
      <c r="P15">
        <v>1.0111733329999999</v>
      </c>
      <c r="Q15">
        <v>1.011766749</v>
      </c>
      <c r="R15">
        <v>1.0059520470000001</v>
      </c>
      <c r="S15">
        <v>1.0159364529999999</v>
      </c>
      <c r="T15">
        <v>1.0201996520000001</v>
      </c>
      <c r="U15">
        <v>1.0239137030000001</v>
      </c>
      <c r="V15">
        <v>1.0256575999999999</v>
      </c>
      <c r="W15">
        <v>1.0283506229999999</v>
      </c>
      <c r="X15" t="str">
        <f>$C$2&amp;($A$1&amp;A15)&amp;CHAR(10)&amp;($A$2&amp;C15)&amp;CHAR(10)&amp;($B$2&amp;N15)&amp;CHAR(10)&amp;($B$3&amp;O15)&amp;CHAR(10)&amp;($B$4&amp;P15)&amp;CHAR(10)&amp;($B$5&amp;Q15)&amp;CHAR(10)&amp;($B$6&amp;R15)&amp;CHAR(10)&amp;($B$7&amp;S15)&amp;CHAR(10)&amp;($B$8&amp;T15)&amp;CHAR(10)&amp;($B$9&amp;U15)&amp;CHAR(10)&amp;($B$10&amp;V15)&amp;CHAR(10)&amp;($B$11&amp;W15)&amp;CHAR(10)</f>
        <v>header set_gas_MKS=108
set_s0=150
set_c0=1.002073415
set_c1=1.002364604
set_c2=1.011173333
set_c3=1.011766749
set_c4=1.005952047
set_c5=1.015936453
set_c6=1.020199652
set_c7=1.023913703
set_c8=1.0256576
set_c9=1.028350623</v>
      </c>
    </row>
    <row r="16" spans="1:24">
      <c r="A16">
        <v>297</v>
      </c>
      <c r="B16" t="s">
        <v>25</v>
      </c>
      <c r="C16">
        <v>100</v>
      </c>
      <c r="D16">
        <f>0.1*C16</f>
        <v>10</v>
      </c>
      <c r="E16">
        <f t="shared" ref="E16:E23" si="0">0.2*C16</f>
        <v>20</v>
      </c>
      <c r="F16">
        <f t="shared" ref="F16:F23" si="1">0.3*C16</f>
        <v>30</v>
      </c>
      <c r="G16">
        <f t="shared" ref="G16:G23" si="2">0.4*C16</f>
        <v>40</v>
      </c>
      <c r="H16">
        <f t="shared" ref="H16:H23" si="3">0.5*C16</f>
        <v>50</v>
      </c>
      <c r="I16">
        <f t="shared" ref="I16:I23" si="4">0.6*C16</f>
        <v>60</v>
      </c>
      <c r="J16">
        <f t="shared" ref="J16:J23" si="5">0.7*C16</f>
        <v>70</v>
      </c>
      <c r="K16">
        <f t="shared" ref="K16:K23" si="6">0.8*C16</f>
        <v>80</v>
      </c>
      <c r="L16">
        <f t="shared" ref="L16:L23" si="7">0.9*C16</f>
        <v>90</v>
      </c>
      <c r="M16">
        <f t="shared" ref="M16:M23" si="8">1*C16</f>
        <v>100</v>
      </c>
      <c r="N16">
        <v>1.0193241099999999</v>
      </c>
      <c r="O16">
        <v>0.99879827499999996</v>
      </c>
      <c r="P16">
        <v>0.99604593900000005</v>
      </c>
      <c r="Q16">
        <v>0.98990812299999997</v>
      </c>
      <c r="R16">
        <v>0.991637726</v>
      </c>
      <c r="S16">
        <v>0.99715569800000003</v>
      </c>
      <c r="T16">
        <v>0.99921373599999996</v>
      </c>
      <c r="U16">
        <v>1.00033617</v>
      </c>
      <c r="V16">
        <v>1.001079136</v>
      </c>
      <c r="W16">
        <v>0.99743080100000003</v>
      </c>
      <c r="X16" t="str">
        <f t="shared" ref="X16:X23" si="9">$C$2&amp;($A$1&amp;A16)&amp;CHAR(10)&amp;($A$2&amp;C16)&amp;CHAR(10)&amp;($B$2&amp;N16)&amp;CHAR(10)&amp;($B$3&amp;O16)&amp;CHAR(10)&amp;($B$4&amp;P16)&amp;CHAR(10)&amp;($B$5&amp;Q16)&amp;CHAR(10)&amp;($B$6&amp;R16)&amp;CHAR(10)&amp;($B$7&amp;S16)&amp;CHAR(10)&amp;($B$8&amp;T16)&amp;CHAR(10)&amp;($B$9&amp;U16)&amp;CHAR(10)&amp;($B$10&amp;V16)&amp;CHAR(10)&amp;($B$11&amp;W16)&amp;CHAR(10)</f>
        <v xml:space="preserve">header set_gas_MKS=297
set_s0=100
set_c0=1.01932411
set_c1=0.998798275
set_c2=0.996045939
set_c3=0.989908123
set_c4=0.991637726
set_c5=0.997155698
set_c6=0.999213736
set_c7=1.00033617
set_c8=1.001079136
set_c9=0.997430801
</v>
      </c>
    </row>
    <row r="17" spans="1:26">
      <c r="A17">
        <v>19</v>
      </c>
      <c r="B17" t="s">
        <v>31</v>
      </c>
      <c r="C17">
        <v>300</v>
      </c>
      <c r="D17">
        <f t="shared" ref="D17:D23" si="10">0.1*C17</f>
        <v>30</v>
      </c>
      <c r="E17">
        <f t="shared" si="0"/>
        <v>60</v>
      </c>
      <c r="F17">
        <f t="shared" si="1"/>
        <v>90</v>
      </c>
      <c r="G17">
        <f t="shared" si="2"/>
        <v>120</v>
      </c>
      <c r="H17">
        <f t="shared" si="3"/>
        <v>150</v>
      </c>
      <c r="I17">
        <f t="shared" si="4"/>
        <v>180</v>
      </c>
      <c r="J17">
        <f t="shared" si="5"/>
        <v>210</v>
      </c>
      <c r="K17">
        <f t="shared" si="6"/>
        <v>240</v>
      </c>
      <c r="L17">
        <f t="shared" si="7"/>
        <v>270</v>
      </c>
      <c r="M17">
        <f t="shared" si="8"/>
        <v>300</v>
      </c>
      <c r="N17">
        <v>0.99711227499999999</v>
      </c>
      <c r="O17">
        <v>0.99853382099999999</v>
      </c>
      <c r="P17">
        <v>1.0057623550000001</v>
      </c>
      <c r="Q17">
        <v>1.0065352439999999</v>
      </c>
      <c r="R17">
        <v>1.005536728</v>
      </c>
      <c r="S17">
        <v>1.0058625539999999</v>
      </c>
      <c r="T17">
        <v>1.0066796440000001</v>
      </c>
      <c r="U17">
        <v>1.0200573909999999</v>
      </c>
      <c r="V17">
        <v>1.0246051329999999</v>
      </c>
      <c r="W17">
        <v>1.0295947999999999</v>
      </c>
      <c r="X17" t="str">
        <f t="shared" si="9"/>
        <v xml:space="preserve">header set_gas_MKS=19
set_s0=300
set_c0=0.997112275
set_c1=0.998533821
set_c2=1.005762355
set_c3=1.006535244
set_c4=1.005536728
set_c5=1.005862554
set_c6=1.006679644
set_c7=1.020057391
set_c8=1.024605133
set_c9=1.0295948
</v>
      </c>
    </row>
    <row r="18" spans="1:26">
      <c r="A18">
        <v>7</v>
      </c>
      <c r="B18" t="s">
        <v>42</v>
      </c>
      <c r="C18">
        <v>600</v>
      </c>
      <c r="D18">
        <f t="shared" si="10"/>
        <v>60</v>
      </c>
      <c r="E18">
        <f t="shared" si="0"/>
        <v>120</v>
      </c>
      <c r="F18">
        <f t="shared" si="1"/>
        <v>180</v>
      </c>
      <c r="G18">
        <f t="shared" si="2"/>
        <v>240</v>
      </c>
      <c r="H18">
        <f t="shared" si="3"/>
        <v>300</v>
      </c>
      <c r="I18">
        <f t="shared" si="4"/>
        <v>360</v>
      </c>
      <c r="J18">
        <f t="shared" si="5"/>
        <v>420</v>
      </c>
      <c r="K18">
        <f t="shared" si="6"/>
        <v>480</v>
      </c>
      <c r="L18">
        <f t="shared" si="7"/>
        <v>540</v>
      </c>
      <c r="M18">
        <f t="shared" si="8"/>
        <v>600</v>
      </c>
      <c r="N18">
        <v>0.992698733</v>
      </c>
      <c r="O18">
        <v>0.97684211899999995</v>
      </c>
      <c r="P18">
        <v>0.97437328899999998</v>
      </c>
      <c r="Q18">
        <v>0.97280629900000004</v>
      </c>
      <c r="R18">
        <v>0.971195476</v>
      </c>
      <c r="S18">
        <v>0.97012227600000001</v>
      </c>
      <c r="T18">
        <v>0.96956161900000004</v>
      </c>
      <c r="U18">
        <v>0.96886106699999996</v>
      </c>
      <c r="V18">
        <v>0.96856734499999997</v>
      </c>
      <c r="W18">
        <v>0.968250532</v>
      </c>
      <c r="X18" t="str">
        <f t="shared" si="9"/>
        <v xml:space="preserve">header set_gas_MKS=7
set_s0=600
set_c0=0.992698733
set_c1=0.976842119
set_c2=0.974373289
set_c3=0.972806299
set_c4=0.971195476
set_c5=0.970122276
set_c6=0.969561619
set_c7=0.968861067
set_c8=0.968567345
set_c9=0.968250532
</v>
      </c>
    </row>
    <row r="19" spans="1:26">
      <c r="A19">
        <v>10</v>
      </c>
      <c r="B19" t="s">
        <v>35</v>
      </c>
      <c r="C19">
        <v>400</v>
      </c>
      <c r="D19">
        <f t="shared" si="10"/>
        <v>40</v>
      </c>
      <c r="E19">
        <f t="shared" si="0"/>
        <v>80</v>
      </c>
      <c r="F19">
        <f t="shared" si="1"/>
        <v>120</v>
      </c>
      <c r="G19">
        <f t="shared" si="2"/>
        <v>160</v>
      </c>
      <c r="H19">
        <f t="shared" si="3"/>
        <v>200</v>
      </c>
      <c r="I19">
        <f t="shared" si="4"/>
        <v>240</v>
      </c>
      <c r="J19">
        <f t="shared" si="5"/>
        <v>280</v>
      </c>
      <c r="K19">
        <f t="shared" si="6"/>
        <v>320</v>
      </c>
      <c r="L19">
        <f t="shared" si="7"/>
        <v>360</v>
      </c>
      <c r="M19">
        <f t="shared" si="8"/>
        <v>400</v>
      </c>
      <c r="N19">
        <v>1.0056308110000001</v>
      </c>
      <c r="O19">
        <v>1.0045197809999999</v>
      </c>
      <c r="P19">
        <v>1.0322716569999999</v>
      </c>
      <c r="Q19">
        <v>1.047116596</v>
      </c>
      <c r="R19">
        <v>1.0598450690000001</v>
      </c>
      <c r="S19">
        <v>1.0656823900000001</v>
      </c>
      <c r="T19">
        <v>1.0538788610000001</v>
      </c>
      <c r="U19">
        <v>1.077931274</v>
      </c>
      <c r="V19">
        <v>1.0765586620000001</v>
      </c>
      <c r="W19">
        <v>1.073722429</v>
      </c>
      <c r="X19" t="str">
        <f t="shared" si="9"/>
        <v xml:space="preserve">header set_gas_MKS=10
set_s0=400
set_c0=1.005630811
set_c1=1.004519781
set_c2=1.032271657
set_c3=1.047116596
set_c4=1.059845069
set_c5=1.06568239
set_c6=1.053878861
set_c7=1.077931274
set_c8=1.076558662
set_c9=1.073722429
</v>
      </c>
    </row>
    <row r="20" spans="1:26">
      <c r="A20">
        <v>4</v>
      </c>
      <c r="B20" t="s">
        <v>13</v>
      </c>
      <c r="C20">
        <v>1000</v>
      </c>
      <c r="D20">
        <f t="shared" si="10"/>
        <v>100</v>
      </c>
      <c r="E20">
        <f t="shared" si="0"/>
        <v>200</v>
      </c>
      <c r="F20">
        <f t="shared" si="1"/>
        <v>300</v>
      </c>
      <c r="G20">
        <f t="shared" si="2"/>
        <v>400</v>
      </c>
      <c r="H20">
        <f t="shared" si="3"/>
        <v>500</v>
      </c>
      <c r="I20">
        <f t="shared" si="4"/>
        <v>600</v>
      </c>
      <c r="J20">
        <f t="shared" si="5"/>
        <v>700</v>
      </c>
      <c r="K20">
        <f t="shared" si="6"/>
        <v>800</v>
      </c>
      <c r="L20">
        <f t="shared" si="7"/>
        <v>900</v>
      </c>
      <c r="M20">
        <f t="shared" si="8"/>
        <v>1000</v>
      </c>
      <c r="N20">
        <v>1.0070478060000001</v>
      </c>
      <c r="O20">
        <v>0.99999382000000003</v>
      </c>
      <c r="P20">
        <v>1.0006713869999999</v>
      </c>
      <c r="Q20">
        <v>1.000964279</v>
      </c>
      <c r="R20">
        <v>1.01259119</v>
      </c>
      <c r="S20">
        <v>1.0235091169999999</v>
      </c>
      <c r="T20">
        <v>1.031375736</v>
      </c>
      <c r="U20">
        <v>1.0358470909999999</v>
      </c>
      <c r="V20">
        <v>1.038511151</v>
      </c>
      <c r="W20">
        <v>1.023759887</v>
      </c>
      <c r="X20" t="str">
        <f t="shared" si="9"/>
        <v xml:space="preserve">header set_gas_MKS=4
set_s0=1000
set_c0=1.007047806
set_c1=0.99999382
set_c2=1.000671387
set_c3=1.000964279
set_c4=1.01259119
set_c5=1.023509117
set_c6=1.031375736
set_c7=1.035847091
set_c8=1.038511151
set_c9=1.023759887
</v>
      </c>
    </row>
    <row r="21" spans="1:26">
      <c r="A21">
        <v>15</v>
      </c>
      <c r="B21" t="s">
        <v>23</v>
      </c>
      <c r="C21">
        <v>1000</v>
      </c>
      <c r="D21">
        <f t="shared" si="10"/>
        <v>100</v>
      </c>
      <c r="E21">
        <f t="shared" si="0"/>
        <v>200</v>
      </c>
      <c r="F21">
        <f t="shared" si="1"/>
        <v>300</v>
      </c>
      <c r="G21">
        <f t="shared" si="2"/>
        <v>400</v>
      </c>
      <c r="H21">
        <f t="shared" si="3"/>
        <v>500</v>
      </c>
      <c r="I21">
        <f t="shared" si="4"/>
        <v>600</v>
      </c>
      <c r="J21">
        <f t="shared" si="5"/>
        <v>700</v>
      </c>
      <c r="K21">
        <f t="shared" si="6"/>
        <v>800</v>
      </c>
      <c r="L21">
        <f t="shared" si="7"/>
        <v>900</v>
      </c>
      <c r="M21">
        <f t="shared" si="8"/>
        <v>1000</v>
      </c>
      <c r="N21">
        <v>1.007894826</v>
      </c>
      <c r="O21">
        <v>1.0033152809999999</v>
      </c>
      <c r="P21">
        <v>0.98311177500000002</v>
      </c>
      <c r="Q21">
        <v>0.990406342</v>
      </c>
      <c r="R21">
        <v>0.99582739300000001</v>
      </c>
      <c r="S21">
        <v>1.0018207809999999</v>
      </c>
      <c r="T21">
        <v>1.0077176370000001</v>
      </c>
      <c r="U21">
        <v>1.0126449559999999</v>
      </c>
      <c r="V21">
        <v>1.0147429779999999</v>
      </c>
      <c r="W21">
        <v>1.0163137820000001</v>
      </c>
      <c r="X21" t="str">
        <f t="shared" si="9"/>
        <v xml:space="preserve">header set_gas_MKS=15
set_s0=1000
set_c0=1.007894826
set_c1=1.003315281
set_c2=0.983111775
set_c3=0.990406342
set_c4=0.995827393
set_c5=1.001820781
set_c6=1.007717637
set_c7=1.012644956
set_c8=1.014742978
set_c9=1.016313782
</v>
      </c>
    </row>
    <row r="22" spans="1:26">
      <c r="A22">
        <v>70</v>
      </c>
      <c r="B22" t="s">
        <v>40</v>
      </c>
      <c r="C22">
        <v>100</v>
      </c>
      <c r="D22">
        <f t="shared" si="10"/>
        <v>10</v>
      </c>
      <c r="E22">
        <f t="shared" si="0"/>
        <v>20</v>
      </c>
      <c r="F22">
        <f t="shared" si="1"/>
        <v>30</v>
      </c>
      <c r="G22">
        <f t="shared" si="2"/>
        <v>40</v>
      </c>
      <c r="H22">
        <f t="shared" si="3"/>
        <v>50</v>
      </c>
      <c r="I22">
        <f t="shared" si="4"/>
        <v>60</v>
      </c>
      <c r="J22">
        <f t="shared" si="5"/>
        <v>70</v>
      </c>
      <c r="K22">
        <f t="shared" si="6"/>
        <v>80</v>
      </c>
      <c r="L22">
        <f t="shared" si="7"/>
        <v>90</v>
      </c>
      <c r="M22">
        <f t="shared" si="8"/>
        <v>100</v>
      </c>
      <c r="N22">
        <v>1.018419647</v>
      </c>
      <c r="O22">
        <v>1.0100300790000001</v>
      </c>
      <c r="P22">
        <v>1.005288951</v>
      </c>
      <c r="Q22">
        <v>1.004224872</v>
      </c>
      <c r="R22">
        <v>1.0026844020000001</v>
      </c>
      <c r="S22">
        <v>1.0058108649999999</v>
      </c>
      <c r="T22">
        <v>1.008769662</v>
      </c>
      <c r="U22">
        <v>1.010742571</v>
      </c>
      <c r="V22">
        <v>1.010223388</v>
      </c>
      <c r="W22">
        <v>1.010714801</v>
      </c>
      <c r="X22" t="str">
        <f t="shared" si="9"/>
        <v xml:space="preserve">header set_gas_MKS=70
set_s0=100
set_c0=1.018419647
set_c1=1.010030079
set_c2=1.005288951
set_c3=1.004224872
set_c4=1.002684402
set_c5=1.005810865
set_c6=1.008769662
set_c7=1.010742571
set_c8=1.010223388
set_c9=1.010714801
</v>
      </c>
    </row>
    <row r="23" spans="1:26">
      <c r="A23">
        <v>53</v>
      </c>
      <c r="B23" t="s">
        <v>50</v>
      </c>
      <c r="C23">
        <v>500</v>
      </c>
      <c r="D23">
        <f t="shared" si="10"/>
        <v>50</v>
      </c>
      <c r="E23">
        <f t="shared" si="0"/>
        <v>100</v>
      </c>
      <c r="F23">
        <f t="shared" si="1"/>
        <v>150</v>
      </c>
      <c r="G23">
        <f t="shared" si="2"/>
        <v>200</v>
      </c>
      <c r="H23">
        <f t="shared" si="3"/>
        <v>250</v>
      </c>
      <c r="I23">
        <f t="shared" si="4"/>
        <v>300</v>
      </c>
      <c r="J23">
        <f t="shared" si="5"/>
        <v>350</v>
      </c>
      <c r="K23">
        <f t="shared" si="6"/>
        <v>400</v>
      </c>
      <c r="L23">
        <f t="shared" si="7"/>
        <v>450</v>
      </c>
      <c r="M23">
        <f t="shared" si="8"/>
        <v>500</v>
      </c>
      <c r="N23">
        <v>1.0053446960000001</v>
      </c>
      <c r="O23">
        <v>1.0008769989999999</v>
      </c>
      <c r="P23">
        <v>0.99053812699999999</v>
      </c>
      <c r="Q23">
        <v>0.99688659700000004</v>
      </c>
      <c r="R23">
        <v>1.0025702519999999</v>
      </c>
      <c r="S23">
        <v>1.0083371990000001</v>
      </c>
      <c r="T23">
        <v>1.011387767</v>
      </c>
      <c r="U23">
        <v>1.009987942</v>
      </c>
      <c r="V23">
        <v>1.0107545259999999</v>
      </c>
      <c r="W23">
        <v>1.018130252</v>
      </c>
      <c r="X23" t="str">
        <f t="shared" si="9"/>
        <v xml:space="preserve">header set_gas_MKS=53
set_s0=500
set_c0=1.005344696
set_c1=1.000876999
set_c2=0.990538127
set_c3=0.996886597
set_c4=1.002570252
set_c5=1.008337199
set_c6=1.011387767
set_c7=1.009987942
set_c8=1.010754526
set_c9=1.018130252
</v>
      </c>
    </row>
    <row r="25" spans="1:26">
      <c r="Z25" s="2"/>
    </row>
  </sheetData>
  <phoneticPr fontId="7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气体参数</vt:lpstr>
      <vt:lpstr>喷嘴参数</vt:lpstr>
      <vt:lpstr>版本控制</vt:lpstr>
      <vt:lpstr>cmd</vt:lpstr>
      <vt:lpstr>cal</vt:lpstr>
      <vt:lpstr>mks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li</dc:creator>
  <cp:lastModifiedBy>GH0050</cp:lastModifiedBy>
  <dcterms:created xsi:type="dcterms:W3CDTF">2015-06-05T18:17:00Z</dcterms:created>
  <dcterms:modified xsi:type="dcterms:W3CDTF">2026-06-17T05:41:49Z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B7D282666AF247F788375C1D5978ED87_12</vt:lpwstr>
  </property>
  <property fmtid="{D5CDD505-2E9C-101B-9397-08002B2CF9AE}" pid="3" name="KSOProductBuildVer">
    <vt:lpwstr>2052-12.1.0.16364</vt:lpwstr>
  </property>
</Properties>
</file>